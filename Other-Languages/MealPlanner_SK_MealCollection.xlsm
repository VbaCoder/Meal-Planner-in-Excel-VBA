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DieseArbeitsmappe" defaultThemeVersion="124226"/>
  <bookViews>
    <workbookView xWindow="-15" yWindow="6240" windowWidth="25230" windowHeight="6285"/>
  </bookViews>
  <sheets>
    <sheet name="Plánovanie" sheetId="1" r:id="rId1"/>
    <sheet name="Pravidlá" sheetId="2" r:id="rId2"/>
    <sheet name="Jedlá" sheetId="3" r:id="rId3"/>
    <sheet name="Jazyk" sheetId="4" r:id="rId4"/>
  </sheets>
  <functionGroups builtInGroupCount="17"/>
  <definedNames>
    <definedName name="_xlnm._FilterDatabase" localSheetId="0" hidden="1">Plánovanie!$A$9:$G$374</definedName>
    <definedName name="_xlnm.Print_Area" localSheetId="0">Plánovanie!$A$9:$G$37</definedName>
  </definedNames>
  <calcPr calcId="145621"/>
</workbook>
</file>

<file path=xl/calcChain.xml><?xml version="1.0" encoding="utf-8"?>
<calcChain xmlns="http://schemas.openxmlformats.org/spreadsheetml/2006/main">
  <c r="B37" i="1" l="1"/>
  <c r="B36" i="1"/>
  <c r="B35" i="1"/>
  <c r="B34" i="1"/>
  <c r="B33" i="1"/>
  <c r="B32" i="1"/>
  <c r="B31" i="1"/>
  <c r="B30" i="1"/>
  <c r="B29" i="1"/>
  <c r="B28" i="1"/>
  <c r="B27" i="1"/>
  <c r="B26" i="1"/>
  <c r="B25" i="1"/>
  <c r="B24" i="1"/>
  <c r="B23" i="1"/>
  <c r="B22" i="1"/>
  <c r="B21" i="1"/>
  <c r="B20" i="1"/>
  <c r="B19" i="1"/>
  <c r="B18" i="1"/>
  <c r="B17" i="1"/>
  <c r="B16" i="1"/>
  <c r="B15" i="1"/>
  <c r="B14" i="1"/>
  <c r="B13" i="1"/>
  <c r="B12" i="1"/>
  <c r="B11" i="1"/>
  <c r="B10" i="1"/>
  <c r="A1" i="4" l="1"/>
  <c r="A1" i="3"/>
  <c r="A1" i="2"/>
  <c r="A1" i="1"/>
  <c r="B11" i="2" l="1"/>
</calcChain>
</file>

<file path=xl/sharedStrings.xml><?xml version="1.0" encoding="utf-8"?>
<sst xmlns="http://schemas.openxmlformats.org/spreadsheetml/2006/main" count="854" uniqueCount="641">
  <si>
    <t>Pizza</t>
  </si>
  <si>
    <t>Jedlo</t>
  </si>
  <si>
    <t>Ryba</t>
  </si>
  <si>
    <t>Kaiserschmarn</t>
  </si>
  <si>
    <t>Cena</t>
  </si>
  <si>
    <t>Suroviny</t>
  </si>
  <si>
    <t>Id</t>
  </si>
  <si>
    <t>SK</t>
  </si>
  <si>
    <t>DE</t>
  </si>
  <si>
    <t>EN</t>
  </si>
  <si>
    <t>Jazyk</t>
  </si>
  <si>
    <t>Planning</t>
  </si>
  <si>
    <t>Rules</t>
  </si>
  <si>
    <t>Meals</t>
  </si>
  <si>
    <t>Language</t>
  </si>
  <si>
    <t>Generate</t>
  </si>
  <si>
    <t>Swap 2 meals</t>
  </si>
  <si>
    <t>Change meal…</t>
  </si>
  <si>
    <t>Change category…</t>
  </si>
  <si>
    <t>Delete meal</t>
  </si>
  <si>
    <t>Date</t>
  </si>
  <si>
    <t>Day of week</t>
  </si>
  <si>
    <t>Effort</t>
  </si>
  <si>
    <t>Category</t>
  </si>
  <si>
    <t>Variants / Side dishes</t>
  </si>
  <si>
    <t>Planning period length</t>
  </si>
  <si>
    <t>days</t>
  </si>
  <si>
    <t>Erase dates</t>
  </si>
  <si>
    <t>Last serving date</t>
  </si>
  <si>
    <t>Contains meat</t>
  </si>
  <si>
    <t>Seasonal</t>
  </si>
  <si>
    <t>Health rating</t>
  </si>
  <si>
    <t>Price</t>
  </si>
  <si>
    <t>Ingredients</t>
  </si>
  <si>
    <t>UI_PlanStart</t>
  </si>
  <si>
    <t>UI_PlanLength</t>
  </si>
  <si>
    <t>UI_TodaysDate</t>
  </si>
  <si>
    <t>UI_NextPeriod</t>
  </si>
  <si>
    <t>UI_Generate</t>
  </si>
  <si>
    <t>UI_SwapMeals</t>
  </si>
  <si>
    <t>UI_ChangeMeal</t>
  </si>
  <si>
    <t>UI_ChangeCategory</t>
  </si>
  <si>
    <t>UI_DeleteMeal</t>
  </si>
  <si>
    <t>UI_Date</t>
  </si>
  <si>
    <t>UI_DayOfWeek</t>
  </si>
  <si>
    <t>UI_Effort</t>
  </si>
  <si>
    <t>UI_Category</t>
  </si>
  <si>
    <t>UI_Meal</t>
  </si>
  <si>
    <t>UI_VariantsAndSides</t>
  </si>
  <si>
    <t>UI_Frequency</t>
  </si>
  <si>
    <t>UI_Repetitions</t>
  </si>
  <si>
    <t>UI_PeriodLength</t>
  </si>
  <si>
    <t>UI_Days</t>
  </si>
  <si>
    <t>UI_EraseDates</t>
  </si>
  <si>
    <t>UI_LastServingDate</t>
  </si>
  <si>
    <t>UI_MeatMeal</t>
  </si>
  <si>
    <t>UI_ContainsMeat</t>
  </si>
  <si>
    <t>UI_Seasonal</t>
  </si>
  <si>
    <t>UI_HealthRating</t>
  </si>
  <si>
    <t>UI_Price</t>
  </si>
  <si>
    <t>UI_Ingredients</t>
  </si>
  <si>
    <t>UI_CurrentLanguage</t>
  </si>
  <si>
    <t>UI_SwitchLanguage</t>
  </si>
  <si>
    <t>UI_Id</t>
  </si>
  <si>
    <t>Tab_Planning</t>
  </si>
  <si>
    <t>Tab_Rules</t>
  </si>
  <si>
    <t>Tab_Meals</t>
  </si>
  <si>
    <t>Tab_Language</t>
  </si>
  <si>
    <t>Plánovanie</t>
  </si>
  <si>
    <t>Pravidlá</t>
  </si>
  <si>
    <t>Jedlá</t>
  </si>
  <si>
    <t>Začiatok</t>
  </si>
  <si>
    <t>Počet dní</t>
  </si>
  <si>
    <t>Dnešný dátum</t>
  </si>
  <si>
    <t>Dalšie obdobie</t>
  </si>
  <si>
    <t>Generovať</t>
  </si>
  <si>
    <t>Vymeniť 2 jedlá</t>
  </si>
  <si>
    <t>Zmeniť jedlo…</t>
  </si>
  <si>
    <t>Zmeniť kategóriu…</t>
  </si>
  <si>
    <t>Zmazať jedlo</t>
  </si>
  <si>
    <t>Dátum</t>
  </si>
  <si>
    <t>Deň</t>
  </si>
  <si>
    <t>Náročnosť</t>
  </si>
  <si>
    <t>Kategória</t>
  </si>
  <si>
    <t>Varianty / Prílohy</t>
  </si>
  <si>
    <t>Častosť kategórií</t>
  </si>
  <si>
    <t>Koľko krát za obdobie</t>
  </si>
  <si>
    <t>Dĺžka plánovacieho obdobia</t>
  </si>
  <si>
    <t>dní</t>
  </si>
  <si>
    <t>Vymazať dátumy</t>
  </si>
  <si>
    <t>Naposledy varené</t>
  </si>
  <si>
    <t>Sezónne</t>
  </si>
  <si>
    <t>Zdravosť</t>
  </si>
  <si>
    <t>Aktuálny jazyk</t>
  </si>
  <si>
    <t>Prepnúť jazyk</t>
  </si>
  <si>
    <t>Meat</t>
  </si>
  <si>
    <t>Fish</t>
  </si>
  <si>
    <t>Alternative meals of the same category:</t>
  </si>
  <si>
    <t>unknown date</t>
  </si>
  <si>
    <t>Invalid value
Please enter an integer.</t>
  </si>
  <si>
    <t>Alternative meal categories:</t>
  </si>
  <si>
    <t>Please select a category number between 1 and #.</t>
  </si>
  <si>
    <t>Please select a meal number between 1 and #.</t>
  </si>
  <si>
    <t>Value out of range
Please enter an integer between 1 and #.</t>
  </si>
  <si>
    <t>Plan start</t>
  </si>
  <si>
    <t>Plan length</t>
  </si>
  <si>
    <t>Today's date</t>
  </si>
  <si>
    <t>Next period</t>
  </si>
  <si>
    <t>Frequency of categories</t>
  </si>
  <si>
    <t>Current language</t>
  </si>
  <si>
    <t>Switch language</t>
  </si>
  <si>
    <t>Invalid selection
Your selection contains too many areas.
Please select two days within the plan, whose meals shall be swapped.</t>
  </si>
  <si>
    <t>Invalid selection
Your selection lies outside of the plan.
Please select two days within the plan, whose meals shall be swapped.</t>
  </si>
  <si>
    <t>Invalid selection
You have selected only one day.
Please select two days within the plan, whose meals shall be swapped.</t>
  </si>
  <si>
    <t>Too many repetitions
Cannot proceed. The sum of repetition values up to this line is too high.
The total sum of repetitions must not exceed #.</t>
  </si>
  <si>
    <t>Invalid meal date
Cannot proceed. The last serving date value '#' of this meal is illegal.
Please use a valid date or keep empty.</t>
  </si>
  <si>
    <t>Invalid meal labeling
Cannot proceed. The '#' labeling of this meal is illegal.
Please specify a boolean value or a 0/1 integer or simply keep empty.</t>
  </si>
  <si>
    <t>Invalid date
Cannot proceed. The date value '#' is illegal.
Please use a valid date.</t>
  </si>
  <si>
    <t>Msg_EmptyPlan</t>
  </si>
  <si>
    <t>Msg_OverwriteWarning</t>
  </si>
  <si>
    <t>Msg_EmptyPlanNextPeriod</t>
  </si>
  <si>
    <t>Msg_InvalidOnlyOne</t>
  </si>
  <si>
    <t>Msg_InvalidMoreThanTwo</t>
  </si>
  <si>
    <t>Msg_InvalidMoreThanOne</t>
  </si>
  <si>
    <t>Msg_InvalidOutsideTwo</t>
  </si>
  <si>
    <t>Msg_InvalidOutsideOne</t>
  </si>
  <si>
    <t>Str_AlternativeMeals</t>
  </si>
  <si>
    <t>Str_UnknownDate</t>
  </si>
  <si>
    <t>Msg_ValueOutOfRange</t>
  </si>
  <si>
    <t>Msg_InvalidNotNumeric</t>
  </si>
  <si>
    <t>Meal</t>
  </si>
  <si>
    <t>Str_AlternativeCategories</t>
  </si>
  <si>
    <t>Msg_MissingMealAlternatives</t>
  </si>
  <si>
    <t>Msg_MissingCategoryAlternatives</t>
  </si>
  <si>
    <t>Invalid selection
Your selection contains too many areas.
Please select a single day within the plan, whose meal shall be edited.</t>
  </si>
  <si>
    <t>Invalid selection
Your selection lies outside of the plan.
Please select one day within the plan, whose meal shall be edited.</t>
  </si>
  <si>
    <t>Missing Alternatives
There are no alternative categories to #.</t>
  </si>
  <si>
    <t>Msg_InvalidCategory</t>
  </si>
  <si>
    <t>Msg_InvalidRepetitions</t>
  </si>
  <si>
    <t>Msg_TooManyRepetitions</t>
  </si>
  <si>
    <t>Msg_PastPlanningDate</t>
  </si>
  <si>
    <t>Empty meal category
Cannot proceed. The category of this meal is empty.
Please specify a valid category.</t>
  </si>
  <si>
    <t>Msg_EmptyCategory</t>
  </si>
  <si>
    <t>Msg_InvalidEffort</t>
  </si>
  <si>
    <t>Invalid meal effort
Cannot proceed. The effort value of this meal is illegal.
Please specify an positive integer value.</t>
  </si>
  <si>
    <t>Msg_InvalidLabeling</t>
  </si>
  <si>
    <t>Msg_InvalidMealSheet</t>
  </si>
  <si>
    <t>Msg_InvalidMealDate</t>
  </si>
  <si>
    <t>Msg_InvalidPlanDate</t>
  </si>
  <si>
    <t>Msg_UnknownMeal</t>
  </si>
  <si>
    <t>Invalid meal category
Cannot proceed. The meal category '#' is not known.
Please only use valid meal categories, defined in the meal sheet.</t>
  </si>
  <si>
    <t>Str_SelectMealNumber</t>
  </si>
  <si>
    <t>Str_SelectCategoryNumber</t>
  </si>
  <si>
    <t>Str_MealChange</t>
  </si>
  <si>
    <t>Str_CategoryChange</t>
  </si>
  <si>
    <t>Str_CurrentMeal</t>
  </si>
  <si>
    <t>Current meal: # on #.</t>
  </si>
  <si>
    <t>Meal change</t>
  </si>
  <si>
    <t>Str_CurrentCategory</t>
  </si>
  <si>
    <t>Category Change</t>
  </si>
  <si>
    <t>Current meal category: # on #.</t>
  </si>
  <si>
    <t>Nesprávny výber
Váš výber obsahuje priveľa častí.
Označte prosím dva dni vrámci plánu, ktorých jedlá majú byť vymenené.</t>
  </si>
  <si>
    <t>Nesprávny výber
Váš výber leží mimo plánu.
Označte prosím dva dni vrámci plánu, ktorých jedlá majú byť vymenené.</t>
  </si>
  <si>
    <t>Nesprávny výber
Označili ste len jeden deň.
Označte prosím dva dni vrámci plánu, ktorých jedlá majú byť vymenené.</t>
  </si>
  <si>
    <t>Nesprávny výber
Váš výber obsahuje priveľa častí.
Označte prosím jeden deň vrámci plánu, ktorého jedlo má byť zmenené.</t>
  </si>
  <si>
    <t>Nesprávny výber
Váš výber leží mimo plánu.
Označte prosím jeden deň vrámci plánu, ktorého jedlo má byť zmenené.</t>
  </si>
  <si>
    <t>Zmena jedla</t>
  </si>
  <si>
    <t>Alternatívne jedlá tejto kategórie:</t>
  </si>
  <si>
    <t>neznámy dátum</t>
  </si>
  <si>
    <t>Zvoľte prosím číslo jedla od 1 do #.</t>
  </si>
  <si>
    <t>Chybná hodnota
Zadajte prosím celé číslo.</t>
  </si>
  <si>
    <t>Hodnota mimo povoleného rozsahu
Zadajte prosím celé číslo od 1 do #.</t>
  </si>
  <si>
    <t>Zmena kategórie</t>
  </si>
  <si>
    <t>Aktuálne jedlo: # zo dňa #.</t>
  </si>
  <si>
    <t>Aktuálna kategória jedla: # zo dňa #.</t>
  </si>
  <si>
    <t>Alternatívne kategórie jedál:</t>
  </si>
  <si>
    <t>Zvoľte prosím číslo kategórie od 1 do #.</t>
  </si>
  <si>
    <t>Žiadne alternatívy
Iné kategórie jedál než # neexistujú.</t>
  </si>
  <si>
    <t>Chybná kategória jedla
Nedá sa pokračovať. Kategória jedál '#' nie je známa.
Prosím používajte len kategórie, ktoré sú definované na hárku jedál.</t>
  </si>
  <si>
    <t>Invalid number of repetitions
Cannot proceed. The repetitions value '#' is illegal.
Please specify an integer value between 0 and #.</t>
  </si>
  <si>
    <t>Priveľa opakovaní
Nedá sa pokračovať. Suma všetkých počtov opakovaní až po tento riadok je príliš vysoká.
Suma všetkých opakovaní nesmie prekročiť #.</t>
  </si>
  <si>
    <t>Prázdna kategória jedál
Nedá sa pokračovať. Kategória tohto jedla je prázdna.
Prosím zadajte platnú kategóriu.</t>
  </si>
  <si>
    <t>Neplatná náročnosť jedla
Nedá sa pokračovať. Hodnota náročnosti tohto jedla nie je prípustná.
Prosím zadajte pozitívne celé číslo.</t>
  </si>
  <si>
    <t>Neplatný dátum
Nedá sa pokračovať. Hodnota dátumu '#' je neprípustná.
Prosím použite platný dátum.</t>
  </si>
  <si>
    <t>Chybný počet opakovaní
Nedá sa pokračovať. Hodnota počtu opakovaní '#' nie je prípustná.
Prosím zadajte celé číslo od 0 do #.</t>
  </si>
  <si>
    <t>Str_Monday</t>
  </si>
  <si>
    <t>Str_Tuesday</t>
  </si>
  <si>
    <t>Str_Wednesday</t>
  </si>
  <si>
    <t>Str_Thursday</t>
  </si>
  <si>
    <t>Str_Friday</t>
  </si>
  <si>
    <t>Str_Saturday</t>
  </si>
  <si>
    <t>Str_Sunday</t>
  </si>
  <si>
    <t>Monday</t>
  </si>
  <si>
    <t>Tuesday</t>
  </si>
  <si>
    <t>Wednesday</t>
  </si>
  <si>
    <t>Thursday</t>
  </si>
  <si>
    <t>Friday</t>
  </si>
  <si>
    <t>Saturday</t>
  </si>
  <si>
    <t>Sunday</t>
  </si>
  <si>
    <t>Pondelok</t>
  </si>
  <si>
    <t>Utorok</t>
  </si>
  <si>
    <t>Streda</t>
  </si>
  <si>
    <t>Štvrtok</t>
  </si>
  <si>
    <t>Piatok</t>
  </si>
  <si>
    <t>Sobota</t>
  </si>
  <si>
    <t>Nedeľa</t>
  </si>
  <si>
    <t>Empty plan
The current plan is empty. Nothing to do.
You may want to generate a new plan by pressing '&lt;UI_Generate&gt;' first.</t>
  </si>
  <si>
    <t>Prázdny plán
Aktuálny plán je prázdny. Nedá sa pokračovať.
Skúste najprv generovať nový plán stisnutím tlačidla '&lt;UI_Generate&gt;'.</t>
  </si>
  <si>
    <t>Maximálna náročnosť jedla v pracovný deň</t>
  </si>
  <si>
    <t>Maximálny počet kontroverzných jedál v plánovacom období</t>
  </si>
  <si>
    <t>Maximálny počet pracných jedál za víkend</t>
  </si>
  <si>
    <t>UI_EffortThreshold</t>
  </si>
  <si>
    <t>UI_MaxNumOfControversial</t>
  </si>
  <si>
    <t>UI_MaxNumOfLaborious</t>
  </si>
  <si>
    <t>Maximum meal effort on a workday</t>
  </si>
  <si>
    <t>Maximum number of laborious meals per weekend</t>
  </si>
  <si>
    <t>Maximum number of controversial meals per planning period</t>
  </si>
  <si>
    <t>Msg_InvalidEffortThreshold</t>
  </si>
  <si>
    <t>Chybná hodnota
Nedá sa pokračovať. Hodnota maximálnej náročnosti '#' nie je prípustná.
Prosím zadajte celé číslo väčšie ako 0.</t>
  </si>
  <si>
    <t>Invalid value
Cannot proceed. The maximum effort value '#' is illegal.
Please enter an integer larger than 0.</t>
  </si>
  <si>
    <t>Msg_InvalidNumOfLaborious</t>
  </si>
  <si>
    <t>Invalid value
Cannot proceed. The number of laborious meals '#' is illegal.
Please enter an integer between 0 and 2.</t>
  </si>
  <si>
    <t>Chybná hodnota
Nedá sa pokračovať. Počet pracných jedál '#' nie je prípustný.
Prosím zadajte celé číslo od 0 do 2.</t>
  </si>
  <si>
    <t>Msg_InvalidNumOfControversial</t>
  </si>
  <si>
    <t>Invalid value
Cannot proceed. The number of controversial meals '#' is illegal.
Please enter a non-negative integer.</t>
  </si>
  <si>
    <t>Chybná hodnota
Nedá sa pokračovať. Počet kontroverzných jedál '#' nie je prípustný.
Prosím zadajte nazáporné celé číslo.</t>
  </si>
  <si>
    <t>Regeln</t>
  </si>
  <si>
    <t>Speisen</t>
  </si>
  <si>
    <t>Anfang</t>
  </si>
  <si>
    <t>Länge</t>
  </si>
  <si>
    <t>Heutiges Datum</t>
  </si>
  <si>
    <t>Nächster Zeitraum</t>
  </si>
  <si>
    <t>Generieren</t>
  </si>
  <si>
    <t>Speisen vertauschen</t>
  </si>
  <si>
    <t>Speise löschen</t>
  </si>
  <si>
    <t>Datum</t>
  </si>
  <si>
    <t>Wochentag</t>
  </si>
  <si>
    <t>Aufwand</t>
  </si>
  <si>
    <t>Kategorie</t>
  </si>
  <si>
    <t>Speise</t>
  </si>
  <si>
    <t>Varianten / Beilagen</t>
  </si>
  <si>
    <t>Maximaler Aufwand an einem Wochentag</t>
  </si>
  <si>
    <t>Maximale Anzahl aufwendiger Speisen pro Wochenende</t>
  </si>
  <si>
    <t>Häufigkeit der Kategorien</t>
  </si>
  <si>
    <t>Wiederholungen pro Planungsperiode</t>
  </si>
  <si>
    <t>Maximale Anzahl kontroverser Speisen pro Planungsperiode</t>
  </si>
  <si>
    <t>Länge der Planungsperiode</t>
  </si>
  <si>
    <t>Tage</t>
  </si>
  <si>
    <t>Letztes Servierdatum</t>
  </si>
  <si>
    <t>Fleischgericht</t>
  </si>
  <si>
    <t>Fischgericht</t>
  </si>
  <si>
    <t>Enthält Fleisch</t>
  </si>
  <si>
    <t>Saisonal</t>
  </si>
  <si>
    <t>Preis</t>
  </si>
  <si>
    <t>Zutaten</t>
  </si>
  <si>
    <t>Aktuelle Sprache</t>
  </si>
  <si>
    <t>Sprache</t>
  </si>
  <si>
    <t>Gesundheitsrating</t>
  </si>
  <si>
    <t>Leerer Speiseplan
Der aktuelle Speiseplan ist leer.
Generieren Sie bitte zuerst einen neuen Plan mit der Taste '&lt;UI_Generate&gt;'.</t>
  </si>
  <si>
    <t>Falsche Auswahl
Ihre Auswahl enthält zu viele Bereiche.
Bitte selektieren Sie zwei Tage innerhalb des Speiseplans, deren Speisen vertauscht werden sollen.</t>
  </si>
  <si>
    <t>Falsche Auswahl
Ihre Auswahl liegt außerhalb des Speiseplans.
Bitte selektieren Sie zwei Tage innerhalb des Speiseplans, deren Speisen vertauscht werden sollen.</t>
  </si>
  <si>
    <t>Falsche Auswahl
Sie haben nur einen Tag ausgewählt.
Bitte selektieren Sie zwei Tage innerhalb des Speiseplans, deren Speisen vertauscht werden sollen.</t>
  </si>
  <si>
    <t>Falsche Auswahl
Ihre Auswahl enthält zu viele Bereiche.
Bitte selektieren Sie einen Tag innerhalb des Speiseplans, dessen Speise geändert werden soll.</t>
  </si>
  <si>
    <t>Falsche Auswahl
Ihre Auswahl liegt außerhalb des Speiseplans.
Bitte selektieren Sie einen Tag innerhalb des Speiseplans, dessen Speise geändert werden soll.</t>
  </si>
  <si>
    <t>Die aktuelle Speise: # am #.</t>
  </si>
  <si>
    <t>Alternative Speisen dieser Kategorie:</t>
  </si>
  <si>
    <t>Datum unbekannt</t>
  </si>
  <si>
    <t>Butte wählen Sie eine Speisenummer zwischen 1 und #.</t>
  </si>
  <si>
    <t>Ungültiger Wert
Bitte geben Sie eine ganze Zahl ein.</t>
  </si>
  <si>
    <t>Wert außerhalb des zulässigen Bereichs
Bitte geben Sie eine ganze Zahl zwischen 1 und # ein.</t>
  </si>
  <si>
    <t>Änderung der Speise</t>
  </si>
  <si>
    <t>Änderung der Kategorie</t>
  </si>
  <si>
    <t>Die aktuelle Speisekategorie: # am #.</t>
  </si>
  <si>
    <t>Alternative Speisekategorien:</t>
  </si>
  <si>
    <t>Butte wählen Sie eine Kategorienummer zwischen 1 und #.</t>
  </si>
  <si>
    <t>Fehlende Alternativen
Es gibt keine alternativen Speisekategorien zu #.</t>
  </si>
  <si>
    <t>Ungültiger Wert
Fortsetzung unmöglich. Der Wert des maximalen Aufwands '#' ist nicht zulässig.
Bitte geben Sie eine ganze Zahl größer als 0 ein.</t>
  </si>
  <si>
    <t>Ungültiger Wert
Fortsetzung unmöglich. Die Anzahl der aufwendigen Speisen '#' ist nicht zulässig.
Bitte geben Sie eine ganze Zahl zwischen 0 und 2 ein.</t>
  </si>
  <si>
    <t>Ungültiger Wert
Fortsetzung unmöglich. Die Anzahl der kontroversen Speisen '#' ist nicht zulässig.
Bitte geben Sie eine ganze Zahl ein, die nicht negativ ist.</t>
  </si>
  <si>
    <t>Ungültige Speisekategorie
Fortsetzung unmöglich. Die Speisekategorie '#' ist unbekannt.
Bitte nutzen Sie nur gültige Speisekategorien, die in der Speisesammlung definiert wurden.</t>
  </si>
  <si>
    <t>Zu viele Wiederholungen
Fortsetzung unmöglich. Die Summe aller Wiederholungswerte bis zu dieser Zeile ist zu hoch.
Die Gesamtsumme aller Wiederholungen darf # nicht übersteigen.</t>
  </si>
  <si>
    <t>Ungültige Anzahl der Wiederholungen
Fortsetzung unmöglich. Der Wiederholungswert '#' ist nicht zulässig.
Bitte geben Sie eine ganze Zahl zwischen 0 und # ein.</t>
  </si>
  <si>
    <t>Leere Speisekategorie
Fortsetzung unmöglich. Die Kategorie dieser Speise ist leer.
Bitte geben Sie eine gültige Speisekategorie ein.</t>
  </si>
  <si>
    <t>Ungültiges Datum
Fortsetzung unmöglich. Das Servierdatum '#' dieser Speise ist nicht zulässig.
Bitte geben Sie ein gültiges Datum ein, oder lassen Sie das Feld leer.</t>
  </si>
  <si>
    <t>Ungültiger Speiseaufwand
Fortsetzung unmöglich. Der Aufwandswert für diese Speise ist nicht zulässig.
Bitte geben Sie eine positive ganze Zahl ein.</t>
  </si>
  <si>
    <t>Planung</t>
  </si>
  <si>
    <t>Sprache umschalten</t>
  </si>
  <si>
    <t>Ungültiges Datum
Fortsetzung unmöglich. Der Datumwert '#' ist nicht zulässig.
Bitte geben Sie ein gültiges Datum ein.</t>
  </si>
  <si>
    <t>Montag</t>
  </si>
  <si>
    <t>Dienstag</t>
  </si>
  <si>
    <t>Mittwoch</t>
  </si>
  <si>
    <t>Donnerstag</t>
  </si>
  <si>
    <t>Freitag</t>
  </si>
  <si>
    <t>Samstag</t>
  </si>
  <si>
    <t>Sonntag</t>
  </si>
  <si>
    <t>Daten löschen</t>
  </si>
  <si>
    <t>Kategorie ändern…</t>
  </si>
  <si>
    <t>Speise ändern…</t>
  </si>
  <si>
    <t>Repetitions per planning period</t>
  </si>
  <si>
    <t>Hamburger</t>
  </si>
  <si>
    <t>Bratwurst</t>
  </si>
  <si>
    <t>Canneloni</t>
  </si>
  <si>
    <t>Lasagne</t>
  </si>
  <si>
    <t>UI_Popularity</t>
  </si>
  <si>
    <t>Popularity</t>
  </si>
  <si>
    <t>Beliebtheit</t>
  </si>
  <si>
    <t>Obľúbenosť</t>
  </si>
  <si>
    <t>Maximálna obľúbenosť kontroverzného jedla</t>
  </si>
  <si>
    <t>Msg_InvalidPopularityThreshold</t>
  </si>
  <si>
    <t>Invalid value
Cannot proceed. The maximum popularity value '#' is illegal.
Please enter an integer larger than 0.</t>
  </si>
  <si>
    <t>Ungültiger Wert
Fortsetzung unmöglich. Der Wert der maximalen Beliebtheit '#' ist nicht zulässig.
Bitte geben Sie eine ganze Zahl größer als 0 ein.</t>
  </si>
  <si>
    <t>Chybná hodnota
Nedá sa pokračovať. Hodnota maximálnej obľúbenosti '#' nie je prípustná.
Prosím zadajte celé číslo väčšie ako 0.</t>
  </si>
  <si>
    <t>UI_PopularityThreshold</t>
  </si>
  <si>
    <t>Maximum popularity of a controversial meal</t>
  </si>
  <si>
    <t>Maximale Beliebtheit einer kontroversen Speise</t>
  </si>
  <si>
    <t>Msg_InvalidPopularity</t>
  </si>
  <si>
    <t>Invalid meal popularity
Cannot proceed. The popularity value of this meal is illegal.
Please specify a non-negative integer value.</t>
  </si>
  <si>
    <t>Ungültige Beliebtheit
Fortsetzung unmöglich. Der Beliebtheitswert für diese Speise ist nicht zulässig.
Bitte geben Sie eine ganze Zahl ein, die nicht negativ ist.</t>
  </si>
  <si>
    <t>Neplatná náročnosť jedla
Nedá sa pokračovať. Hodnota náročnosti tohto jedla nie je prípustná.
Prosím zadajte nazáporné celé číslo.</t>
  </si>
  <si>
    <t>Žiadne alternatívy
Iné jedlá kategórie # neexistujú.
Skúste zmeniť kategóriu.</t>
  </si>
  <si>
    <t>Fehlende Alternativen
Es gibt keine alternativen Speisen für die Kategorie #.
Ändern Sie ggf. die Kategorie.</t>
  </si>
  <si>
    <t>Missing Alternatives
There are no alternative meals of the category #.
You may want to change the category.</t>
  </si>
  <si>
    <t>UI_PlanArchived</t>
  </si>
  <si>
    <t>UI_Archive</t>
  </si>
  <si>
    <t>Msg_PlanAlreadyArchived</t>
  </si>
  <si>
    <t>Msg_PlanNotYetArchived</t>
  </si>
  <si>
    <t>Plan archived</t>
  </si>
  <si>
    <t>Archive</t>
  </si>
  <si>
    <t>Plan already archived
This plan has already been archived. Nothing to do.</t>
  </si>
  <si>
    <t>Warning
This overwrites the last serving dates in the meal sheet and cannot be undone. You may want to save the file first, before pressing '&lt;UI_Archive&gt;'.
Continue anyway?</t>
  </si>
  <si>
    <t>Vorsicht
Dies überschreibt die letzten Servierdaten in Ihrer Speisesammlung und kann nicht rückgängig gemacht werden. Speichern Sie ggf. Ihre Datei, bevor Sie die Taste '&lt;UI_Archive&gt;' drücken.
Trotzdem fortfahren?</t>
  </si>
  <si>
    <t>Pozor
Táto funkcia prepíše servírovacie dátumy na zozname jedál a nedá sa vrátiť späť. Preto si súbor prípadne uložte ešte predtým, než použijete '&lt;UI_Archive&gt;'.
Pokračovať napriek neuloženému súboru?</t>
  </si>
  <si>
    <t>Empty plan
The current plan is empty. If you proceed to the next planning period, you will have a gap in the last serving dates.
You may want to generate a new plan by pressing '&lt;UI_Generate&gt;' first and then archive it by pressing '&lt;UI_Archive&gt;'. Only then you should proceed to the next planning period.
Do you want to proceed anyway?</t>
  </si>
  <si>
    <t>Plan not yet archived
The current plan has not yet been archived. If you proceeded to the next planning period, this plan and the last serving dates of all its meals would be lost.
Please press '&lt;UI_Archive&gt;' first, before doing this.</t>
  </si>
  <si>
    <t>Past planning date
The current planning date # lies before the last serving date of some meals in the meal sheet. This is typically the case when the current plan has already been archived.
You should press '&lt;UI_NextPeriod&gt;' first, before using the '&lt;UI_Generate&gt;' button again.
(Alternatively, you might clear the last serving dates in the meal sheet. But be cautious to not delete any past serving dates, which shall be considered during your further planning.)</t>
  </si>
  <si>
    <t>Plan archiviert</t>
  </si>
  <si>
    <t>Speiseplan noch nicht archiviert
Der aktuelle Speiseplan wurde noch nicht archiviert. Wenn Sie gleich zur nächsten Planungsperiode wechseln würden, würden der aktuelle Speiseplan und seine Servierdaten verloren gehen.
Bitte drücken Sie zuerst '&lt;UI_Archive&gt;', bevor Sie hier fortfahren.</t>
  </si>
  <si>
    <t>Planungsdatum in der Vergangenheit
Das aktuelle Planungsdatum # liegt vor manchen Servierdaten in der Speisesammlung. Das passiert typischerweise dann, wenn der aktuelle Speiseplan bereits archiviert wurde.
Sie sollten zuerst '&lt;UI_NextPeriod&gt;' drücken, bevor Sie wieder die '&lt;UI_Generate&gt;' Taste nutzen.
(Alternativ können Sie auch die Servierdaten in der Speisesammlung löschen. Achten Sie aber bitte darauf, dass sie nicht solche Servierdaten löschen, die noch bei Ihrer zukünftigen Planung berücksichtigt werden sollen.)</t>
  </si>
  <si>
    <t>Archivieren</t>
  </si>
  <si>
    <t>Speiseplan bereits archiviert
Dieser Speiseplan wurde bereits archiviert. Ein erneutes Archivieren ist nicht nötig.</t>
  </si>
  <si>
    <t>Leerer Speiseplan
Der aktuelle Speiseplan ist leer. Wenn Sie zu der nächsten Planungsperiode wechseln, werden Sie eine Lücke in Ihren Servierdaten haben.
Vielleicht möchten Sie zuerst über '&lt;UI_Generate&gt;' einen Speiseplan für die aktuelle Planungsperiode generieren und ihn anschließend über '&lt;UI_Archive&gt;' archivieren. Erst dann sollten Sie zur weiteren Planungsperiode übergehen.
Trotzdem fortfahren?</t>
  </si>
  <si>
    <t>Plán archivovaný</t>
  </si>
  <si>
    <t>Plán zatiaľ nearchivovaný
Aktuálny plán ešte nebol archivovaný. Ak by ste pokračovali k ďalšiemu plánovaciemu obdobiu, tento plán a servírovacie dátumy všetkých jeho jedál by boli stratené.
Preto stlačte prosím najprv '&lt;UI_Archive&gt;', predtým než použijete túto funkciu.</t>
  </si>
  <si>
    <t>Začiatok plánu v minulosti
Počiatočný dátum plánu # leží pred niektorými servírovacími dátumami na hárku jedál. To väčšinou znamená, že plán pre aktuálne obdobie už raz bol archivovaný.
Mali by ste najprv stlačiť '&lt;UI_NextPeriod&gt;', predtým než opäť použijete tlačidlo '&lt;UI_Generate&gt;'.
(Ako alternatívne riešenie môžete vymazať posledné servírovacie dátumy na hárku jedál. Ale dajte pozor, aby ste si pri tom nechtiac nezmazali aj uplynulé servírovacie dátumy, ktoré majú byť zohľadnené pri vašom ďalšom plánovaní.)</t>
  </si>
  <si>
    <t>Archivovať</t>
  </si>
  <si>
    <t>Plán archivovaný
Tento plán už bol archivovaný. Opakované archivovanie nie je potrebné.</t>
  </si>
  <si>
    <t>Prázdny plán
Aktuálny plán je prázdny. Ak budete pokračovať k ďalšiemu plánovaciemu obdobiu, tak budete mať medzery v servírovacích dátumoch jedál.
Možno by ste mali najprv vygenerovať nový plán stisnutím '&lt;UI_Generate&gt;', archivovať ho stlačením '&lt;UI_Archive&gt;' a až potom pokračovať k ďalšiemu plánovaciemu obdobiu.
Pokračovať napriek prázdnemu plánu?</t>
  </si>
  <si>
    <t>Unknown meal
Cannot proceed. The meal name '#' is not known. The meal plan can only contain meals, which were defined in the meal sheet and whose popularity is above 0.
Please only use known meal names in the plan. You can either delete this meal in your plan, or add the new meal to your meal list.</t>
  </si>
  <si>
    <t>Unbekannte Speise
Fortsetzung unmöglich. Der Speisename '#' ist nicht bekannt. Der Speiseplan darf nur Speisen enthalten, die in der Speisesammlung definiert wurden und deren Beliebtheit größer als 0 ist.
Bitte nutzen Sie nur bekannte Speisenamen. Sie können entweder diese Speise in Ihrem Speiseplan löschen, oder sie in ihre Speisesammlung aufnehmen.</t>
  </si>
  <si>
    <t>e</t>
  </si>
  <si>
    <t>A</t>
  </si>
  <si>
    <t>n</t>
  </si>
  <si>
    <t>Str_PopularityAbbreviated</t>
  </si>
  <si>
    <t>Str_EffortAbbreviated</t>
  </si>
  <si>
    <t>p</t>
  </si>
  <si>
    <t>o</t>
  </si>
  <si>
    <t>Str_DaysAbbreviated</t>
  </si>
  <si>
    <t>d</t>
  </si>
  <si>
    <t>T</t>
  </si>
  <si>
    <t>Msg_InvalidContainsMeat</t>
  </si>
  <si>
    <t>Invalid '&lt;UI_ContainsMeat&gt;' value
Cannot proceed. The '&lt;UI_ContainsMeat&gt;' value of this meal is illegal.
Please specify a non-negative integer value, e.g. 0 for a strictly vegetarian meal, 1 for a meal, which can optionally or partially contain meat, and 2 for a meal, for which meat is the essential ingedient.</t>
  </si>
  <si>
    <t>Ungültiger Wert '&lt;UI_ContainsMeat&gt;'
Fortsetzung unmöglich. Der Wert '&lt;UI_ContainsMeat&gt;' dieser Speise ist nicht zulässig.
Bitte geben Sie eine ganze Zahl, die nicht negativ ist. Z.B. 0 für eine strikt vegetarische Speise, 1 für eine Speise, die optional oder teilweise Fleisch enthalten kann und 2 für eine Speise, für die Fleisch eine wesentliche Zutat ist.</t>
  </si>
  <si>
    <t>Msg_InvalidNumericValue</t>
  </si>
  <si>
    <t>Invalid meal value
Cannot proceed. The '#' value of this meal is illegal.
Please specify a numeric value or simply keep empty.</t>
  </si>
  <si>
    <t>Ungültiger Wert
Fortsetzung unmöglich. Der '#'-Wert dieser Speise ist nicht zulässig.
Bitte geben Sie einen numerischen Wert ein, oder lassen Sie das Feld einfach leer.</t>
  </si>
  <si>
    <t>Ungültiger Wert
Fortsetzung unmöglich. Der '#'-Wert dieser Speise ist nicht zulässig.
Bitte geben Sie einen boolischen oder einen 0/1-Wert ein, oder lassen Sie das Feld einfach leer.</t>
  </si>
  <si>
    <t>Msg_InvalidOutsideMultiple</t>
  </si>
  <si>
    <t>Invalid selection
Your selection lies outside of the plan.
Please select one or more days within the plan, whose meals shall be deleted.</t>
  </si>
  <si>
    <t>Falsche Auswahl
Ihre Auswahl liegt außerhalb des Speiseplans.
Bitte selektieren Sie einen oder mehrere Tage innerhalb des Speiseplans, deren Speisen gelöscht werden sollen.</t>
  </si>
  <si>
    <t>UI_PriorServingDates</t>
  </si>
  <si>
    <t>Prior serving dates</t>
  </si>
  <si>
    <t>Vorherige Servierdaten</t>
  </si>
  <si>
    <t>Predtým varené</t>
  </si>
  <si>
    <t>B</t>
  </si>
  <si>
    <t>UI_ShoppingDay</t>
  </si>
  <si>
    <t>Einkaufstag (1 - &lt;Str_Monday&gt; ... 7 - &lt;Str_Sunday&gt;)</t>
  </si>
  <si>
    <t>Nákupný deň (1 - &lt;Str_Monday&gt; ... 7 - &lt;Str_Sunday&gt;)</t>
  </si>
  <si>
    <t>Shopping day (1 - &lt;Str_Monday&gt; ... 7 - &lt;Str_Sunday&gt;)</t>
  </si>
  <si>
    <t>Msg_InvalidShoppingDay</t>
  </si>
  <si>
    <t>Invalid value
Cannot proceed. The shopping day value '#' is illegal.
Please enter an integer between 1 (&lt;Str_Monday&gt;) and 7 (&lt;Str_Sunday&gt;).</t>
  </si>
  <si>
    <t>Ungültiger Wert
Fortsetzung unmöglich. Der Einkaufstag-Wert '#' ist nicht zulässig.
Bitte geben Sie eine ganze Zahl zwischen 1 (&lt;Str_Monday&gt;) und 7 (&lt;Str_Sunday&gt;).</t>
  </si>
  <si>
    <t>Chybná hodnota
Nedá sa pokračovať. Hodnota nákupného dňa '#' nie je prípustná.
Prosím zadajte celé číslo od 1 (&lt;Str_Monday&gt;) do 7 (&lt;Str_Sunday&gt;).</t>
  </si>
  <si>
    <t>UI_ShoppingListTitle</t>
  </si>
  <si>
    <t>Einkaufszettel generieren</t>
  </si>
  <si>
    <t>UI_GenerateShoppingList</t>
  </si>
  <si>
    <t>Generate shopping lists</t>
  </si>
  <si>
    <t>Generovať nákupné zoznamy</t>
  </si>
  <si>
    <t>Shopping list #</t>
  </si>
  <si>
    <t>Einkaufszettel #</t>
  </si>
  <si>
    <t>Nákupný zoznam #</t>
  </si>
  <si>
    <t>Msg_DateRepairQuestion</t>
  </si>
  <si>
    <t>Invalid date
The date value '#' is illegal. Shall all dates in the plan be replaced by a continuous sequence of dates starting with #?
Press 'OK' to correct all dates or 'Cancel' to abort.</t>
  </si>
  <si>
    <t>Ungültiges Datum
Der Datumwert '#' ist nicht zulässig. Sollen alle Daten im Plan durch eine kontinuierliche, mit # startende, Sequenz von Daten ersetzt werden?
Bitte drücken Sie 'OK' um alle Daten zu korrigieren, oder 'Cancel' um abzubrechen.</t>
  </si>
  <si>
    <t>UI_About</t>
  </si>
  <si>
    <t>About…</t>
  </si>
  <si>
    <t>Info-Dialog…</t>
  </si>
  <si>
    <t>O programe…</t>
  </si>
  <si>
    <t>UI_AboutBoxText</t>
  </si>
  <si>
    <t>About
Meal Plan Generator, V1.0
© 2023 by Valer Canda
This software is open source and freeware. This means that you can use it free of charge and at your own risk. You can also modify or extend it for your own purposes. However, you are not allowed to sell it for money. If you re-use this tool, its ideas, or algorithms in your own solution, then please do not forget giving credit to the author by mentioning his name in a suitable place of your software or documentation. Thank you.</t>
  </si>
  <si>
    <t>Fehlerhafte Speisesammlung
Die Speisesammlung enthält unbekannten Inhalt. Der letzte gültige Speisename wurde in der Zeile # gefunden.
Bitte überprüfen sie die Konsistenz Ihrer Speisesammlung und löschen Sie ggf. überflüssige Zeilen.</t>
  </si>
  <si>
    <t>Chybný hárok jedál
Na hárku jedál sa nachádza neprípustný obsah. Posledný platný názov jedla bol nájdený v riadku číslo #.
Skontrolujte si prosím konzistenciu vášho zoznamu jedál a prípadne zmažte nadbytočné riadky.</t>
  </si>
  <si>
    <t>Invalid meal sheet
Unknown content found in the meal sheet. The last valid meal name was found in the row #.
Please check the consistency of your meal list and delete the superfluous rows.</t>
  </si>
  <si>
    <t>Über das Programm
Speiseplan-Generator, V1.0
© 2023 Valer Canda
Diese Software ist Open Source und Freeware. Das heißt, dass Sie sie kostenlos und auf eigenes Risiko nutzen dürfen. Sie dürfen sie auch für eigenen Bedarf modifizieren oder erweitern, Sie dürfen sie jedoch nicht weiterverkaufen. Wenn Sie dieses Tool, seine Ideen, oder Algorithmen in Ihrer eigenen Lösung wiederverwenden, dann vergessen Sie bitte nicht, den Authoren auf einer passenden Stelle Ihrer Lösung oder Dokumentation zu nennen. Vielen Dank.</t>
  </si>
  <si>
    <t>O Programe
Generátor Jedálničkov, V1.0
© 2023 Valer Canda
Tento softvér je open source a freeware. To znamená, že ho môžete používať zadarmo a na vlastné riziko. Môžete ho tiež modifikovať, alebo rozšíriť pre vlastné potreby. Nesmiete ho však predávať za peniaze. Ak využijete tento nástroj, jeho myšlienky, alebo algoritmy vo vašej vlastnej aplikácii, nezabudnite prosím spomenúť meno autora na vhodnom mieste vášho softvéru alebo jeho dokumentácie. Ďakujem.</t>
  </si>
  <si>
    <t>Mäso</t>
  </si>
  <si>
    <t>UI_FishMeal</t>
  </si>
  <si>
    <t>Obsahuje mäso</t>
  </si>
  <si>
    <t>Nesprávny výber
Váš výber leží mimo plánu.
Označte prosím jeden alebo viac dní vrámci plánu, ktorých jedlá majú byť zmazané.</t>
  </si>
  <si>
    <t>Neplatný dátum
Nedá sa pokračovať. Posledný servírovací dátum '#' tohto jedla je neplatný.
Prosím použite platný dátum, alebo nechajte toto políčko prázdne.</t>
  </si>
  <si>
    <t>Neplatná hodnota '&lt;UI_ContainsMeat&gt;'
Nedá sa pokračovať. Hodnota '&lt;UI_ContainsMeat&gt;' tohto jedla nie je prípustná.
Prosím zadajte nazáporné celé číslo, napr. 0 pre striktne vegetariánske jedlo, 1 pre jedlo, ktoré môže voliteľne, alebo z časti obsahovať mäso a 2 pre jedlo, pre ktoré je mäso podstatnou prísadou.</t>
  </si>
  <si>
    <t>Neplatná hodnota
Nedá sa pokračovať. Hodnota '#' tohto jedla nie je prípustná.
Prosím použite boleovskú hodnotu, alebo celé číslo 0/1, alebo toto políčko jednoducho nechajte prázdne.</t>
  </si>
  <si>
    <t>Neplatná hodnota
Nedá sa pokračovať. Hodnota '#' tohto jedla nie je prípustná.
Prosím použite číselnú hodnotu, alebo toto políčko jednoducho nechajte prázdne.</t>
  </si>
  <si>
    <t>Neplatný dátum
Hodnota dátumu '#' je neprípustná. Mám nahradiť všetky dátumy v pláne stúpajúcou postupnosťou dátumov začínajúcou #?
Prosím stlačte 'OK' pre opravu všetkých dátumov, alebo 'Cancel' pre zrušenie operácie.</t>
  </si>
  <si>
    <t>Neznáme jedlo
Nedá sa pokračovať. Názov jedla '#' nie je známy. Plán smie obsahovať iba jedlá, ktoré boli definované na hárku jedál, a ktorých obľúbenosť je väčšia než 0.
Prosím používajte len známe názvy jedál. Toto jedlo môžete buď zmazať vo vašom pláne, alebo ho pridať do vášho zoznamu jedál.</t>
  </si>
  <si>
    <t>Msg_InvalidPlanLength</t>
  </si>
  <si>
    <t>Invalid plan length
Cannot proceed. The plan length value '#' is illegal.
Please enter an integer between 1 and #.</t>
  </si>
  <si>
    <t>Ungültige Speiseplanlänge
Fortsetzung unmöglich. Die Speiseplanlänge '#' ist nicht zulässig.
Bitte geben Sie eine ganze Zahl zwischen 1 und #.</t>
  </si>
  <si>
    <t>Chybná dĺžka plánu
Nedá sa pokračovať. Dĺžka plánu '#' nie je prípustná.
Prosím zadajte celé číslo medzi 1 a #.</t>
  </si>
  <si>
    <t>Nákupný deň (1 - Pondelok ... 7 - Nedeľa)</t>
  </si>
  <si>
    <t>Ázijské cestoviny - instantné</t>
  </si>
  <si>
    <t>cestoviny</t>
  </si>
  <si>
    <t>Ázijské cestoviny - s hubami a arašidami</t>
  </si>
  <si>
    <t>šampiňóny, mrkva, arašidy</t>
  </si>
  <si>
    <t>Ázijské cestoviny - sladko kyslé</t>
  </si>
  <si>
    <t>paprika, ananás</t>
  </si>
  <si>
    <t>huby, zelenina, tuniak</t>
  </si>
  <si>
    <t>šampiňóny, mrkva, paprika, cuketa, tuniak</t>
  </si>
  <si>
    <t>Cestovinový šalát</t>
  </si>
  <si>
    <t>čistý, feta, mozarella</t>
  </si>
  <si>
    <t>Cestoviny s cuketovou omáčkou</t>
  </si>
  <si>
    <t>špagety, penne, špirály, motýle</t>
  </si>
  <si>
    <t>cuketa, Schmand</t>
  </si>
  <si>
    <t>Cestoviny s paradajkovou omáčkou</t>
  </si>
  <si>
    <t>špagety, penne, špirály; čisté, kukurica a paprika</t>
  </si>
  <si>
    <t>Cestoviny so šampiňónovou omáčkou</t>
  </si>
  <si>
    <t>šampiňóny, smotana</t>
  </si>
  <si>
    <t>Cestoviny so špenátom</t>
  </si>
  <si>
    <t>mrazený špenát, smotana</t>
  </si>
  <si>
    <t>Granadiersky pochod</t>
  </si>
  <si>
    <t>zemiaky</t>
  </si>
  <si>
    <t>Halušky s bryndzou a tvarohom</t>
  </si>
  <si>
    <t>tvaroh, slanina, zemiaky</t>
  </si>
  <si>
    <t>bolognese, huby, zelenina, tuniak</t>
  </si>
  <si>
    <t>šampiňóny, mrkva, paprika, cuketa, tuniak, mleté mäso</t>
  </si>
  <si>
    <t>Cestoviny so smot. omáčkou + paradajky</t>
  </si>
  <si>
    <t>linguini, špagety, penne, motýle</t>
  </si>
  <si>
    <t>smotana</t>
  </si>
  <si>
    <t>Spätzle</t>
  </si>
  <si>
    <t>Zapekané cestoviny</t>
  </si>
  <si>
    <t>Buttergemüse</t>
  </si>
  <si>
    <t>Kórejské toasty (syr, vajce, šunka)</t>
  </si>
  <si>
    <t>chlebové</t>
  </si>
  <si>
    <t>šunka</t>
  </si>
  <si>
    <t>Obložené chlebíčky</t>
  </si>
  <si>
    <t>paprika, šunka, saláma</t>
  </si>
  <si>
    <t>Omeleta</t>
  </si>
  <si>
    <t>zeleninová / ham &amp; eggs</t>
  </si>
  <si>
    <t>paprika, šunka</t>
  </si>
  <si>
    <t>Quesadillas plnené zeleninou</t>
  </si>
  <si>
    <t>šampiňóny, paprika</t>
  </si>
  <si>
    <t>Zapekané toasty</t>
  </si>
  <si>
    <t>syr, saláma, šunka</t>
  </si>
  <si>
    <t>Zapiekanky</t>
  </si>
  <si>
    <t>zelenina, šampiňóny, syr, saláma, šunka</t>
  </si>
  <si>
    <t>šampiňóny, šunka, saláma</t>
  </si>
  <si>
    <t>Doener s kuracím mäsom</t>
  </si>
  <si>
    <t>prípadne aj mleté mäso</t>
  </si>
  <si>
    <t>hydina</t>
  </si>
  <si>
    <t>kuracie prsia, šalát</t>
  </si>
  <si>
    <t>Kuracie krídelká pečené</t>
  </si>
  <si>
    <t>kuracie krídelká</t>
  </si>
  <si>
    <t>Kuracie kúsky s praženou ryžou</t>
  </si>
  <si>
    <t>Kuracie prsia na prírodný spôsob</t>
  </si>
  <si>
    <t>ryža, hranolky</t>
  </si>
  <si>
    <t>kuracie prsia, hranolky</t>
  </si>
  <si>
    <t>Kuracie rezne</t>
  </si>
  <si>
    <t>kuracie prsia,hranolky, sladko-kyslé uhorky</t>
  </si>
  <si>
    <t>Kuracie stehná pečené</t>
  </si>
  <si>
    <t>knedľa, ryža</t>
  </si>
  <si>
    <t>kuracie stehná, droždie</t>
  </si>
  <si>
    <t>Kurča na čínsky spôsob - s arašidami</t>
  </si>
  <si>
    <t>ryža, ázijské cestoviny</t>
  </si>
  <si>
    <t>kuracie prsia, mrkva, cuketa, paprika, arašidy</t>
  </si>
  <si>
    <t>Kurča na čínsky spôsob - sladko-kyslé</t>
  </si>
  <si>
    <t>kuracie prsia, paprika, ananás</t>
  </si>
  <si>
    <t>Kurča na indický spôsob</t>
  </si>
  <si>
    <t>ryža, indické placky</t>
  </si>
  <si>
    <t>kuracie prsia, smotana, droždie, biely jogurt</t>
  </si>
  <si>
    <t>Kurča na thajský spôsob</t>
  </si>
  <si>
    <t>kuracie prsia, kokosové mlieko, paprika, mrkva, thajská pasta</t>
  </si>
  <si>
    <t>Kurča v cibuľovo-smotanovej omáčke</t>
  </si>
  <si>
    <t>knedľa, noky, ryža</t>
  </si>
  <si>
    <t>kuracie prsia, droždie, Schmand</t>
  </si>
  <si>
    <t>Wrapy s kuracím mäsom</t>
  </si>
  <si>
    <t>tuniak</t>
  </si>
  <si>
    <t>kuracie prsia, wrapy, mrkva, šalát, tuniak</t>
  </si>
  <si>
    <t>žemle, hranolky</t>
  </si>
  <si>
    <t>mäso</t>
  </si>
  <si>
    <t>Bratwurst, hranolky</t>
  </si>
  <si>
    <t>Bravčové medailónky na prír. spôsob</t>
  </si>
  <si>
    <t>ryža, zemiaky, knedľa</t>
  </si>
  <si>
    <t>bravčové mäso, droždie</t>
  </si>
  <si>
    <t>Gulášová polievka s mäsom</t>
  </si>
  <si>
    <t>bravčové mäso, zemiaky</t>
  </si>
  <si>
    <t>mleté mäso, hamburgerové žemle</t>
  </si>
  <si>
    <t>Mäsové guľky v paradajkovej omáčke</t>
  </si>
  <si>
    <t>mleté mäso</t>
  </si>
  <si>
    <t>špenát, feta, paprika, paradajka</t>
  </si>
  <si>
    <t>pizzové</t>
  </si>
  <si>
    <t>špenát, feta, paprika, droždie</t>
  </si>
  <si>
    <t>Flammkuchen</t>
  </si>
  <si>
    <t>droždie, slanina, Schmand</t>
  </si>
  <si>
    <t>šampiňóny, paprika, kukurica, tuniak, saláma, šunka, droždie, olivy</t>
  </si>
  <si>
    <t>Fazuľová polievka</t>
  </si>
  <si>
    <t>polievka</t>
  </si>
  <si>
    <t>fazuľa, zemiaky, mrkva, Schmand</t>
  </si>
  <si>
    <t>Hrachová polievka krémová</t>
  </si>
  <si>
    <t>hrach, zemiaky, Schmand</t>
  </si>
  <si>
    <t>Kapustnica</t>
  </si>
  <si>
    <t>kyslá kapusta, klobása, zemiaky</t>
  </si>
  <si>
    <t>Kuracia polievka</t>
  </si>
  <si>
    <t>kuracie chrbty, polievková zelenina, tenké rezance</t>
  </si>
  <si>
    <t>Paradajková polievka</t>
  </si>
  <si>
    <t>cestoviny, halušky, toast</t>
  </si>
  <si>
    <t>Polievka z červenej šošovice</t>
  </si>
  <si>
    <t>červená šošovica, zemiaky</t>
  </si>
  <si>
    <t>Tekvicová polievka</t>
  </si>
  <si>
    <t>tekvica, zemiaky</t>
  </si>
  <si>
    <t>Vegetariánska gulášová polievka</t>
  </si>
  <si>
    <t>mrkva, zemiaky</t>
  </si>
  <si>
    <t>Zeleninová polievka s haluškami</t>
  </si>
  <si>
    <t>mrkva, hrášok, karfiol, kukurica</t>
  </si>
  <si>
    <t>Zemiaková kremová polievka</t>
  </si>
  <si>
    <t>pór, brokolica</t>
  </si>
  <si>
    <t>pór alebo brokolica, zemiaky</t>
  </si>
  <si>
    <t>Francúzska rybacia polievka</t>
  </si>
  <si>
    <t>cesnaková bageta</t>
  </si>
  <si>
    <t>ryby</t>
  </si>
  <si>
    <t>Pečený losos v marináde</t>
  </si>
  <si>
    <t>mrazené lososové filé</t>
  </si>
  <si>
    <t>Rizoto s lososom</t>
  </si>
  <si>
    <t>mrazené lososové filé, smotana</t>
  </si>
  <si>
    <t>Rybie prsty</t>
  </si>
  <si>
    <t>rybie prsty, zemiaky</t>
  </si>
  <si>
    <t>Treska na masle</t>
  </si>
  <si>
    <t>ryža</t>
  </si>
  <si>
    <t>mrazené treskové filé</t>
  </si>
  <si>
    <t>Buchty na pare</t>
  </si>
  <si>
    <t>sladké</t>
  </si>
  <si>
    <t>mak, droždie, strúhanka, tvaroh</t>
  </si>
  <si>
    <t>Dukátové buchtičky</t>
  </si>
  <si>
    <t>droždie, citrón</t>
  </si>
  <si>
    <t>Lievance</t>
  </si>
  <si>
    <t>droždie, citrón, krémový tvaroh</t>
  </si>
  <si>
    <t>Palacinky</t>
  </si>
  <si>
    <t>pancakes</t>
  </si>
  <si>
    <t>krémový tvaroh</t>
  </si>
  <si>
    <t>Pirohy</t>
  </si>
  <si>
    <t>bryndzové, makové, tvarohové, lekvárove</t>
  </si>
  <si>
    <t>mak, tvaroh, zemiaky</t>
  </si>
  <si>
    <t>Rezance s makom</t>
  </si>
  <si>
    <t>mak</t>
  </si>
  <si>
    <t>Ryža v mlieku</t>
  </si>
  <si>
    <t>mrazené jahody</t>
  </si>
  <si>
    <t>Ryžový nákyp</t>
  </si>
  <si>
    <t>zavárané višne, citrón</t>
  </si>
  <si>
    <t>Šišky</t>
  </si>
  <si>
    <t>Šúľance / zemiakové pirohy</t>
  </si>
  <si>
    <t>strúhanka, mak</t>
  </si>
  <si>
    <t>mak, strúhanka, zemiaky</t>
  </si>
  <si>
    <t>Tvarohové guľky</t>
  </si>
  <si>
    <t>Tvarohové šatôčky</t>
  </si>
  <si>
    <t>krémový tvaroh, lístkové cesto</t>
  </si>
  <si>
    <t>Krupicová kaša</t>
  </si>
  <si>
    <t>turbo</t>
  </si>
  <si>
    <t>Párky</t>
  </si>
  <si>
    <t>párky</t>
  </si>
  <si>
    <t>Pečivo s nátierkou</t>
  </si>
  <si>
    <t>rybacia, vajcová, avokadová, nivová</t>
  </si>
  <si>
    <t>žemle alebo bagety, avokádo, rybacia konzerva</t>
  </si>
  <si>
    <t>Praženica</t>
  </si>
  <si>
    <t>volské oko</t>
  </si>
  <si>
    <t>Vločková kaša</t>
  </si>
  <si>
    <t>Hrachový prívarok</t>
  </si>
  <si>
    <t>zemiaky, vajce</t>
  </si>
  <si>
    <t>vegetariánske čerstvé</t>
  </si>
  <si>
    <t>párky, zemiaky, hrach</t>
  </si>
  <si>
    <t>Quiche so zeleninou</t>
  </si>
  <si>
    <t>Buttergemüse, niva, lístkové cesto, smotana, špenát</t>
  </si>
  <si>
    <t>Lokše s červenou kapustou</t>
  </si>
  <si>
    <t>červená kapusta, zemiaky</t>
  </si>
  <si>
    <t>Pečená plnená zelenina</t>
  </si>
  <si>
    <t>huby, paprika, baklažán</t>
  </si>
  <si>
    <t>šampiňóny, paprika, baklažán, cuketa, feta, mozarella</t>
  </si>
  <si>
    <t>Pečená zelenina so zemiakmi</t>
  </si>
  <si>
    <t>tekvica, jogurtový dip</t>
  </si>
  <si>
    <t>tekvica, zemiaky, paprika, mrkva</t>
  </si>
  <si>
    <t>Pečené zemiaky so šalátom</t>
  </si>
  <si>
    <t>šalát, zemiaky</t>
  </si>
  <si>
    <t>Prazena ryža so zeleninou</t>
  </si>
  <si>
    <t>mrazená ázijská zelenina</t>
  </si>
  <si>
    <t>Rizoto hubové</t>
  </si>
  <si>
    <t>Rizoto zeleninové</t>
  </si>
  <si>
    <t>Buttergemüse a.p.</t>
  </si>
  <si>
    <t>Buttergemüse, smotana</t>
  </si>
  <si>
    <t>Ryža so sójovým mäsom</t>
  </si>
  <si>
    <t>omáčka paprikovo-cibuľová / ázijská</t>
  </si>
  <si>
    <t>ázijská mrazená zelenina, smotana</t>
  </si>
  <si>
    <t>Ryžový šalát</t>
  </si>
  <si>
    <t>mozarella, avokádo, paradajky, couscous</t>
  </si>
  <si>
    <t>šalát, avokádo, mozarella</t>
  </si>
  <si>
    <t>Šošovicový prívarok</t>
  </si>
  <si>
    <t>párky, zemiaky, šošovica</t>
  </si>
  <si>
    <t>Zeleninové curry s ryžou</t>
  </si>
  <si>
    <t>cícer, šošovica / tofu, sójové mäso</t>
  </si>
  <si>
    <t>tofu, mrkva, cuketa, paprika, tekvica</t>
  </si>
  <si>
    <t>Zemiakový gratin</t>
  </si>
  <si>
    <t>zemiaky, smotana</t>
  </si>
  <si>
    <t>Zemiaky so špenátom</t>
  </si>
  <si>
    <t>mrazený špenát, zemiaky, smotana</t>
  </si>
  <si>
    <t>Fritovaná zelenina</t>
  </si>
  <si>
    <t>karfiol, cuketa, baklažán, huby</t>
  </si>
  <si>
    <t>vegetariánske vyprážané</t>
  </si>
  <si>
    <t>šampiňóny, cuketa, baklažán, mrkva, karfiol, brokolica</t>
  </si>
  <si>
    <t>Langoše</t>
  </si>
  <si>
    <t>droždie, Schmand</t>
  </si>
  <si>
    <t>Vyprážaný Cammembert so šalátom</t>
  </si>
  <si>
    <t>Cammembert, šalát, bageta</t>
  </si>
  <si>
    <t>Vyprážaný syr s tatárskou omáčkou</t>
  </si>
  <si>
    <t>syr na vyprážanie, zemiaky</t>
  </si>
  <si>
    <t>Zemiakové placky</t>
  </si>
  <si>
    <t>Karfiolová polievka krémová</t>
  </si>
  <si>
    <t>karfiol, zemiaky</t>
  </si>
  <si>
    <t>mrazené treskové filé, pór</t>
  </si>
  <si>
    <t>Pečené kurča</t>
  </si>
  <si>
    <t>knedľa, ryža, hranolky</t>
  </si>
  <si>
    <t>kurča, hranolky, droždie, šalát</t>
  </si>
  <si>
    <t>Turecké pide</t>
  </si>
  <si>
    <t>kuracie prsia, mrkva, šampiňóny, hrášok, paprika</t>
  </si>
  <si>
    <t>šalát, feta alebo mozarella, avokádo</t>
  </si>
  <si>
    <t>alternatívy</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</si>
</sst>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charset val="238"/>
      <scheme val="minor"/>
    </font>
    <font>
      <b/>
      <sz val="14"/>
      <color theme="1"/>
      <name val="Calibri"/>
      <family val="2"/>
      <charset val="238"/>
      <scheme val="minor"/>
    </font>
    <font>
      <b/>
      <sz val="11"/>
      <color theme="0"/>
      <name val="Calibri"/>
      <family val="2"/>
      <scheme val="minor"/>
    </font>
    <font>
      <sz val="11"/>
      <color theme="0" tint="-0.34998626667073579"/>
      <name val="Calibri"/>
      <family val="2"/>
      <scheme val="minor"/>
    </font>
    <font>
      <sz val="11"/>
      <color theme="0" tint="-0.249977111117893"/>
      <name val="Calibri"/>
      <family val="2"/>
      <scheme val="minor"/>
    </font>
    <font>
      <sz val="9"/>
      <color theme="1"/>
      <name val="Calibri"/>
      <family val="2"/>
      <scheme val="minor"/>
    </font>
    <font>
      <b/>
      <sz val="9"/>
      <color theme="1"/>
      <name val="Calibri"/>
      <family val="2"/>
      <charset val="238"/>
      <scheme val="minor"/>
    </font>
    <font>
      <sz val="9"/>
      <color theme="1"/>
      <name val="Calibri"/>
      <family val="2"/>
      <charset val="238"/>
      <scheme val="minor"/>
    </font>
    <font>
      <sz val="9"/>
      <color theme="1"/>
      <name val="Calibri"/>
      <scheme val="minor"/>
    </font>
    <font>
      <sz val="11"/>
      <color theme="0" tint="-0.499984740745262"/>
      <name val="Calibri"/>
      <family val="2"/>
      <scheme val="minor"/>
    </font>
    <font>
      <sz val="9"/>
      <color theme="0" tint="-0.34998626667073579"/>
      <name val="Calibri"/>
      <family val="2"/>
      <scheme val="minor"/>
    </font>
    <font>
      <sz val="9"/>
      <color theme="0" tint="-0.34998626667073579"/>
      <name val="Calibri"/>
      <scheme val="minor"/>
    </font>
  </fonts>
  <fills count="8">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3" tint="0.79995117038483843"/>
        <bgColor indexed="64"/>
      </patternFill>
    </fill>
    <fill>
      <patternFill patternType="solid">
        <fgColor theme="5" tint="0.79995117038483843"/>
        <bgColor indexed="64"/>
      </patternFill>
    </fill>
    <fill>
      <patternFill patternType="solid">
        <fgColor theme="5" tint="0.59999389629810485"/>
        <bgColor indexed="64"/>
      </patternFill>
    </fill>
    <fill>
      <patternFill patternType="solid">
        <fgColor theme="4" tint="0.79998168889431442"/>
        <bgColor indexed="64"/>
      </patternFill>
    </fill>
  </fills>
  <borders count="4">
    <border>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hair">
        <color auto="1"/>
      </left>
      <right style="hair">
        <color auto="1"/>
      </right>
      <top style="hair">
        <color auto="1"/>
      </top>
      <bottom style="hair">
        <color auto="1"/>
      </bottom>
      <diagonal/>
    </border>
  </borders>
  <cellStyleXfs count="1">
    <xf numFmtId="0" fontId="0" fillId="0" borderId="0"/>
  </cellStyleXfs>
  <cellXfs count="51">
    <xf numFmtId="0" fontId="0" fillId="0" borderId="0" xfId="0"/>
    <xf numFmtId="0" fontId="0" fillId="2" borderId="1" xfId="0" applyFont="1" applyFill="1" applyBorder="1"/>
    <xf numFmtId="0" fontId="0" fillId="2" borderId="2" xfId="0" applyFont="1" applyFill="1" applyBorder="1"/>
    <xf numFmtId="0" fontId="0" fillId="0" borderId="1" xfId="0" applyFont="1" applyBorder="1"/>
    <xf numFmtId="0" fontId="0" fillId="0" borderId="2" xfId="0" applyFont="1" applyBorder="1"/>
    <xf numFmtId="0" fontId="1" fillId="0" borderId="0" xfId="0" applyFont="1"/>
    <xf numFmtId="0" fontId="2" fillId="0" borderId="0" xfId="0" applyFont="1"/>
    <xf numFmtId="14" fontId="0" fillId="0" borderId="0" xfId="0" applyNumberFormat="1"/>
    <xf numFmtId="0" fontId="3" fillId="3" borderId="1" xfId="0" applyFont="1" applyFill="1" applyBorder="1"/>
    <xf numFmtId="0" fontId="3" fillId="3" borderId="2" xfId="0" applyFont="1" applyFill="1" applyBorder="1" applyAlignment="1">
      <alignment horizontal="right"/>
    </xf>
    <xf numFmtId="0" fontId="4" fillId="0" borderId="0" xfId="0" applyFont="1"/>
    <xf numFmtId="0" fontId="5" fillId="0" borderId="0" xfId="0" applyFont="1"/>
    <xf numFmtId="0" fontId="6" fillId="0" borderId="0" xfId="0" applyFont="1"/>
    <xf numFmtId="14" fontId="6" fillId="0" borderId="0" xfId="0" applyNumberFormat="1" applyFont="1"/>
    <xf numFmtId="0" fontId="6" fillId="0" borderId="0" xfId="0" applyFont="1" applyAlignment="1">
      <alignment horizontal="center"/>
    </xf>
    <xf numFmtId="0" fontId="7" fillId="0" borderId="0" xfId="0" applyFont="1"/>
    <xf numFmtId="0" fontId="8" fillId="0" borderId="0" xfId="0" applyFont="1" applyAlignment="1">
      <alignment horizontal="left" vertical="top" wrapText="1"/>
    </xf>
    <xf numFmtId="0" fontId="9" fillId="0" borderId="0" xfId="0" applyFont="1" applyAlignment="1">
      <alignment horizontal="left" vertical="top" wrapText="1"/>
    </xf>
    <xf numFmtId="0" fontId="10" fillId="0" borderId="0" xfId="0" applyFont="1"/>
    <xf numFmtId="0" fontId="8" fillId="0" borderId="0" xfId="0" applyFont="1" applyAlignment="1">
      <alignment horizontal="left" vertical="top"/>
    </xf>
    <xf numFmtId="0" fontId="9" fillId="0" borderId="0" xfId="0" applyFont="1" applyAlignment="1">
      <alignment horizontal="left" vertical="top"/>
    </xf>
    <xf numFmtId="0" fontId="9" fillId="0" borderId="0" xfId="0" applyFont="1" applyFill="1" applyAlignment="1">
      <alignment horizontal="left" vertical="top" wrapText="1"/>
    </xf>
    <xf numFmtId="0" fontId="9" fillId="0" borderId="0" xfId="0" applyNumberFormat="1" applyFont="1" applyAlignment="1">
      <alignment horizontal="left" vertical="top" wrapText="1"/>
    </xf>
    <xf numFmtId="0" fontId="9" fillId="0" borderId="0" xfId="0" applyFont="1"/>
    <xf numFmtId="14" fontId="9" fillId="0" borderId="0" xfId="0" applyNumberFormat="1" applyFont="1"/>
    <xf numFmtId="0" fontId="9" fillId="0" borderId="0" xfId="0" applyFont="1" applyAlignment="1">
      <alignment horizontal="center"/>
    </xf>
    <xf numFmtId="1" fontId="6" fillId="0" borderId="0" xfId="0" applyNumberFormat="1" applyFont="1" applyAlignment="1">
      <alignment horizontal="center"/>
    </xf>
    <xf numFmtId="0" fontId="8" fillId="0" borderId="0" xfId="0" applyFont="1"/>
    <xf numFmtId="14" fontId="8" fillId="0" borderId="0" xfId="0" applyNumberFormat="1" applyFont="1"/>
    <xf numFmtId="1" fontId="8" fillId="0" borderId="0" xfId="0" applyNumberFormat="1" applyFont="1" applyAlignment="1">
      <alignment horizontal="center"/>
    </xf>
    <xf numFmtId="0" fontId="8" fillId="0" borderId="0" xfId="0" applyFont="1" applyAlignment="1">
      <alignment horizontal="center"/>
    </xf>
    <xf numFmtId="0" fontId="9" fillId="0" borderId="0" xfId="0" applyNumberFormat="1" applyFont="1" applyAlignment="1">
      <alignment horizontal="left" vertical="top"/>
    </xf>
    <xf numFmtId="0" fontId="8" fillId="0" borderId="0" xfId="0" applyFont="1" applyFill="1" applyAlignment="1">
      <alignment horizontal="center"/>
    </xf>
    <xf numFmtId="0" fontId="6" fillId="0" borderId="0" xfId="0" applyFont="1" applyFill="1" applyAlignment="1">
      <alignment horizontal="center"/>
    </xf>
    <xf numFmtId="14" fontId="11" fillId="0" borderId="0" xfId="0" applyNumberFormat="1" applyFont="1" applyAlignment="1">
      <alignment horizontal="left"/>
    </xf>
    <xf numFmtId="0" fontId="8" fillId="0" borderId="0" xfId="0" applyNumberFormat="1" applyFont="1" applyAlignment="1">
      <alignment horizontal="left" vertical="top"/>
    </xf>
    <xf numFmtId="0" fontId="6" fillId="6" borderId="0" xfId="0" applyFont="1" applyFill="1" applyAlignment="1">
      <alignment horizontal="center"/>
    </xf>
    <xf numFmtId="0" fontId="0" fillId="7" borderId="0" xfId="0" applyFill="1"/>
    <xf numFmtId="0" fontId="9" fillId="0" borderId="0" xfId="0" applyFont="1" applyFill="1" applyAlignment="1">
      <alignment horizontal="left" vertical="top"/>
    </xf>
    <xf numFmtId="0" fontId="8" fillId="0" borderId="0" xfId="0" applyFont="1" applyFill="1" applyAlignment="1">
      <alignment horizontal="left" vertical="top"/>
    </xf>
    <xf numFmtId="0" fontId="1" fillId="0" borderId="3" xfId="0" applyFont="1" applyBorder="1"/>
    <xf numFmtId="14" fontId="0" fillId="4" borderId="3" xfId="0" applyNumberFormat="1" applyFill="1" applyBorder="1" applyAlignment="1">
      <alignment horizontal="left"/>
    </xf>
    <xf numFmtId="0" fontId="0" fillId="4" borderId="3" xfId="0" applyFill="1" applyBorder="1" applyAlignment="1">
      <alignment horizontal="left"/>
    </xf>
    <xf numFmtId="0" fontId="0" fillId="5" borderId="3" xfId="0" applyFill="1" applyBorder="1" applyAlignment="1">
      <alignment horizontal="center"/>
    </xf>
    <xf numFmtId="0" fontId="0" fillId="0" borderId="3" xfId="0" applyFill="1" applyBorder="1" applyAlignment="1">
      <alignment horizontal="center"/>
    </xf>
    <xf numFmtId="14" fontId="0" fillId="0" borderId="3" xfId="0" applyNumberFormat="1" applyFill="1" applyBorder="1" applyAlignment="1">
      <alignment horizontal="left"/>
    </xf>
    <xf numFmtId="0" fontId="0" fillId="0" borderId="3" xfId="0" applyFill="1" applyBorder="1" applyAlignment="1">
      <alignment horizontal="left"/>
    </xf>
    <xf numFmtId="0" fontId="0" fillId="0" borderId="0" xfId="0" applyBorder="1" applyAlignment="1">
      <alignment horizontal="left"/>
    </xf>
    <xf numFmtId="0" fontId="8" fillId="0" borderId="0" xfId="0" applyFont="1" applyFill="1" applyAlignment="1">
      <alignment horizontal="left" vertical="top" wrapText="1"/>
    </xf>
    <xf numFmtId="14" fontId="12" fillId="0" borderId="0" xfId="0" applyNumberFormat="1" applyFont="1" applyAlignment="1">
      <alignment horizontal="left"/>
    </xf>
    <xf numFmtId="1" fontId="9" fillId="0" borderId="0" xfId="0" applyNumberFormat="1" applyFont="1" applyAlignment="1">
      <alignment horizontal="center"/>
    </xf>
  </cellXfs>
  <cellStyles count="1">
    <cellStyle name="Standard" xfId="0" builtinId="0"/>
  </cellStyles>
  <dxfs count="21">
    <dxf>
      <font>
        <strike val="0"/>
        <outline val="0"/>
        <shadow val="0"/>
        <u val="none"/>
        <vertAlign val="baseline"/>
        <sz val="9"/>
        <color theme="1"/>
        <name val="Calibri"/>
        <scheme val="minor"/>
      </font>
      <alignment horizontal="left" vertical="top" textRotation="0" wrapText="1" indent="0" justifyLastLine="0" shrinkToFit="0" readingOrder="0"/>
    </dxf>
    <dxf>
      <font>
        <strike val="0"/>
        <outline val="0"/>
        <shadow val="0"/>
        <u val="none"/>
        <vertAlign val="baseline"/>
        <sz val="9"/>
        <color theme="1"/>
        <name val="Calibri"/>
        <scheme val="minor"/>
      </font>
      <numFmt numFmtId="0" formatCode="General"/>
      <alignment horizontal="left" vertical="top" textRotation="0" wrapText="0" indent="0" justifyLastLine="0" shrinkToFit="0" readingOrder="0"/>
    </dxf>
    <dxf>
      <font>
        <strike val="0"/>
        <outline val="0"/>
        <shadow val="0"/>
        <u val="none"/>
        <vertAlign val="baseline"/>
        <sz val="9"/>
        <color theme="1"/>
        <name val="Calibri"/>
        <scheme val="minor"/>
      </font>
      <alignment horizontal="left" vertical="top" textRotation="0" wrapText="0" indent="0" justifyLastLine="0" shrinkToFit="0" readingOrder="0"/>
    </dxf>
    <dxf>
      <font>
        <strike val="0"/>
        <outline val="0"/>
        <shadow val="0"/>
        <u val="none"/>
        <vertAlign val="baseline"/>
        <sz val="9"/>
        <color theme="1"/>
        <name val="Calibri"/>
        <scheme val="minor"/>
      </font>
      <alignment horizontal="left" vertical="top" textRotation="0" wrapText="0" indent="0" justifyLastLine="0" shrinkToFit="0" readingOrder="0"/>
    </dxf>
    <dxf>
      <font>
        <b/>
        <i val="0"/>
        <strike val="0"/>
        <condense val="0"/>
        <extend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9"/>
        <color theme="0" tint="-0.34998626667073579"/>
        <name val="Calibri"/>
        <scheme val="minor"/>
      </font>
      <numFmt numFmtId="19" formatCode="dd/mm/yyyy"/>
      <alignment horizontal="left" vertical="bottom" textRotation="0" wrapText="0" indent="0" justifyLastLine="0" shrinkToFit="0" readingOrder="0"/>
    </dxf>
    <dxf>
      <font>
        <strike val="0"/>
        <outline val="0"/>
        <shadow val="0"/>
        <u val="none"/>
        <vertAlign val="baseline"/>
        <sz val="9"/>
        <color theme="1"/>
        <name val="Calibri"/>
        <scheme val="minor"/>
      </font>
      <numFmt numFmtId="19" formatCode="dd/mm/yyyy"/>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92867</xdr:colOff>
      <xdr:row>5</xdr:row>
      <xdr:rowOff>47625</xdr:rowOff>
    </xdr:from>
    <xdr:to>
      <xdr:col>0</xdr:col>
      <xdr:colOff>1000124</xdr:colOff>
      <xdr:row>6</xdr:row>
      <xdr:rowOff>145125</xdr:rowOff>
    </xdr:to>
    <xdr:sp macro="[0]!Generate" textlink="">
      <xdr:nvSpPr>
        <xdr:cNvPr id="2" name="Abgerundetes Rechteck 1"/>
        <xdr:cNvSpPr/>
      </xdr:nvSpPr>
      <xdr:spPr>
        <a:xfrm>
          <a:off x="92867" y="1047750"/>
          <a:ext cx="907257"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ctr"/>
          <a:r>
            <a:rPr lang="de-DE" sz="1100"/>
            <a:t>Generovať</a:t>
          </a:r>
        </a:p>
      </xdr:txBody>
    </xdr:sp>
    <xdr:clientData/>
  </xdr:twoCellAnchor>
  <xdr:twoCellAnchor>
    <xdr:from>
      <xdr:col>0</xdr:col>
      <xdr:colOff>1110256</xdr:colOff>
      <xdr:row>5</xdr:row>
      <xdr:rowOff>47625</xdr:rowOff>
    </xdr:from>
    <xdr:to>
      <xdr:col>2</xdr:col>
      <xdr:colOff>232766</xdr:colOff>
      <xdr:row>6</xdr:row>
      <xdr:rowOff>145125</xdr:rowOff>
    </xdr:to>
    <xdr:sp macro="[0]!Archive" textlink="">
      <xdr:nvSpPr>
        <xdr:cNvPr id="3" name="Abgerundetes Rechteck 2"/>
        <xdr:cNvSpPr/>
      </xdr:nvSpPr>
      <xdr:spPr>
        <a:xfrm>
          <a:off x="1110256" y="1047750"/>
          <a:ext cx="1017985"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Archivovať</a:t>
          </a:r>
        </a:p>
      </xdr:txBody>
    </xdr:sp>
    <xdr:clientData/>
  </xdr:twoCellAnchor>
  <xdr:twoCellAnchor>
    <xdr:from>
      <xdr:col>2</xdr:col>
      <xdr:colOff>342900</xdr:colOff>
      <xdr:row>5</xdr:row>
      <xdr:rowOff>47625</xdr:rowOff>
    </xdr:from>
    <xdr:to>
      <xdr:col>3</xdr:col>
      <xdr:colOff>838200</xdr:colOff>
      <xdr:row>6</xdr:row>
      <xdr:rowOff>145125</xdr:rowOff>
    </xdr:to>
    <xdr:sp macro="[0]!NextPeriod" textlink="">
      <xdr:nvSpPr>
        <xdr:cNvPr id="4" name="Abgerundetes Rechteck 3"/>
        <xdr:cNvSpPr/>
      </xdr:nvSpPr>
      <xdr:spPr>
        <a:xfrm>
          <a:off x="2238375" y="1047750"/>
          <a:ext cx="1285875"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Dalšie obdobie</a:t>
          </a:r>
        </a:p>
      </xdr:txBody>
    </xdr:sp>
    <xdr:clientData/>
  </xdr:twoCellAnchor>
  <xdr:twoCellAnchor>
    <xdr:from>
      <xdr:col>2</xdr:col>
      <xdr:colOff>66675</xdr:colOff>
      <xdr:row>1</xdr:row>
      <xdr:rowOff>142875</xdr:rowOff>
    </xdr:from>
    <xdr:to>
      <xdr:col>3</xdr:col>
      <xdr:colOff>485775</xdr:colOff>
      <xdr:row>3</xdr:row>
      <xdr:rowOff>38100</xdr:rowOff>
    </xdr:to>
    <xdr:sp macro="[0]!StartToday" textlink="">
      <xdr:nvSpPr>
        <xdr:cNvPr id="5" name="Abgerundetes Rechteck 4"/>
        <xdr:cNvSpPr/>
      </xdr:nvSpPr>
      <xdr:spPr>
        <a:xfrm>
          <a:off x="1962150" y="381000"/>
          <a:ext cx="1209675"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Dnešný dátum</a:t>
          </a:r>
        </a:p>
      </xdr:txBody>
    </xdr:sp>
    <xdr:clientData/>
  </xdr:twoCellAnchor>
  <xdr:twoCellAnchor>
    <xdr:from>
      <xdr:col>5</xdr:col>
      <xdr:colOff>47625</xdr:colOff>
      <xdr:row>5</xdr:row>
      <xdr:rowOff>47625</xdr:rowOff>
    </xdr:from>
    <xdr:to>
      <xdr:col>5</xdr:col>
      <xdr:colOff>1457325</xdr:colOff>
      <xdr:row>6</xdr:row>
      <xdr:rowOff>145125</xdr:rowOff>
    </xdr:to>
    <xdr:sp macro="[0]!SwapMeals" textlink="">
      <xdr:nvSpPr>
        <xdr:cNvPr id="6" name="Abgerundetes Rechteck 5"/>
        <xdr:cNvSpPr/>
      </xdr:nvSpPr>
      <xdr:spPr>
        <a:xfrm>
          <a:off x="5181600" y="1047750"/>
          <a:ext cx="1409700"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Vymeniť 2 jedlá</a:t>
          </a:r>
        </a:p>
      </xdr:txBody>
    </xdr:sp>
    <xdr:clientData/>
  </xdr:twoCellAnchor>
  <xdr:twoCellAnchor>
    <xdr:from>
      <xdr:col>5</xdr:col>
      <xdr:colOff>1565275</xdr:colOff>
      <xdr:row>5</xdr:row>
      <xdr:rowOff>47625</xdr:rowOff>
    </xdr:from>
    <xdr:to>
      <xdr:col>6</xdr:col>
      <xdr:colOff>241299</xdr:colOff>
      <xdr:row>6</xdr:row>
      <xdr:rowOff>145125</xdr:rowOff>
    </xdr:to>
    <xdr:sp macro="[0]!ChangeMeal" textlink="">
      <xdr:nvSpPr>
        <xdr:cNvPr id="7" name="Abgerundetes Rechteck 6"/>
        <xdr:cNvSpPr/>
      </xdr:nvSpPr>
      <xdr:spPr>
        <a:xfrm>
          <a:off x="6699250" y="1047750"/>
          <a:ext cx="1152524"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Zmeniť jedlo…</a:t>
          </a:r>
        </a:p>
      </xdr:txBody>
    </xdr:sp>
    <xdr:clientData/>
  </xdr:twoCellAnchor>
  <xdr:twoCellAnchor>
    <xdr:from>
      <xdr:col>6</xdr:col>
      <xdr:colOff>349249</xdr:colOff>
      <xdr:row>5</xdr:row>
      <xdr:rowOff>47625</xdr:rowOff>
    </xdr:from>
    <xdr:to>
      <xdr:col>6</xdr:col>
      <xdr:colOff>1730375</xdr:colOff>
      <xdr:row>6</xdr:row>
      <xdr:rowOff>145125</xdr:rowOff>
    </xdr:to>
    <xdr:sp macro="[0]!ChangeCategory" textlink="">
      <xdr:nvSpPr>
        <xdr:cNvPr id="8" name="Abgerundetes Rechteck 7"/>
        <xdr:cNvSpPr/>
      </xdr:nvSpPr>
      <xdr:spPr>
        <a:xfrm>
          <a:off x="7959724" y="1047750"/>
          <a:ext cx="1381126"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Zmeniť kategóriu…</a:t>
          </a:r>
        </a:p>
      </xdr:txBody>
    </xdr:sp>
    <xdr:clientData/>
  </xdr:twoCellAnchor>
  <xdr:twoCellAnchor>
    <xdr:from>
      <xdr:col>6</xdr:col>
      <xdr:colOff>1838325</xdr:colOff>
      <xdr:row>5</xdr:row>
      <xdr:rowOff>47625</xdr:rowOff>
    </xdr:from>
    <xdr:to>
      <xdr:col>6</xdr:col>
      <xdr:colOff>2895600</xdr:colOff>
      <xdr:row>6</xdr:row>
      <xdr:rowOff>145125</xdr:rowOff>
    </xdr:to>
    <xdr:sp macro="[0]!DeleteMeal" textlink="">
      <xdr:nvSpPr>
        <xdr:cNvPr id="9" name="Abgerundetes Rechteck 8"/>
        <xdr:cNvSpPr/>
      </xdr:nvSpPr>
      <xdr:spPr>
        <a:xfrm>
          <a:off x="9448800" y="1047750"/>
          <a:ext cx="1057275"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Zmazať jedlo</a:t>
          </a:r>
        </a:p>
      </xdr:txBody>
    </xdr:sp>
    <xdr:clientData/>
  </xdr:twoCellAnchor>
  <xdr:twoCellAnchor>
    <xdr:from>
      <xdr:col>6</xdr:col>
      <xdr:colOff>1000126</xdr:colOff>
      <xdr:row>2</xdr:row>
      <xdr:rowOff>47625</xdr:rowOff>
    </xdr:from>
    <xdr:to>
      <xdr:col>6</xdr:col>
      <xdr:colOff>2914652</xdr:colOff>
      <xdr:row>3</xdr:row>
      <xdr:rowOff>145125</xdr:rowOff>
    </xdr:to>
    <xdr:sp macro="[0]!GenerateShoppingList" textlink="">
      <xdr:nvSpPr>
        <xdr:cNvPr id="10" name="Abgerundetes Rechteck 9"/>
        <xdr:cNvSpPr/>
      </xdr:nvSpPr>
      <xdr:spPr>
        <a:xfrm>
          <a:off x="8610601" y="476250"/>
          <a:ext cx="1914526"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sk-SK" sz="1100">
              <a:solidFill>
                <a:schemeClr val="dk1"/>
              </a:solidFill>
              <a:latin typeface="+mn-lt"/>
              <a:ea typeface="+mn-ea"/>
              <a:cs typeface="+mn-cs"/>
            </a:rPr>
            <a:t>Generovať nákupné zoznamy</a:t>
          </a:r>
          <a:endParaRPr lang="de-DE" sz="1100">
            <a:solidFill>
              <a:schemeClr val="dk1"/>
            </a:solidFill>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9525</xdr:colOff>
      <xdr:row>0</xdr:row>
      <xdr:rowOff>71438</xdr:rowOff>
    </xdr:from>
    <xdr:to>
      <xdr:col>3</xdr:col>
      <xdr:colOff>1200151</xdr:colOff>
      <xdr:row>1</xdr:row>
      <xdr:rowOff>107157</xdr:rowOff>
    </xdr:to>
    <xdr:sp macro="[0]!ClearAllServingDates" textlink="">
      <xdr:nvSpPr>
        <xdr:cNvPr id="2" name="Abgerundetes Rechteck 1"/>
        <xdr:cNvSpPr/>
      </xdr:nvSpPr>
      <xdr:spPr>
        <a:xfrm>
          <a:off x="6162675" y="71438"/>
          <a:ext cx="1190626" cy="27384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sk-SK" sz="1100">
              <a:solidFill>
                <a:schemeClr val="dk1"/>
              </a:solidFill>
              <a:latin typeface="+mn-lt"/>
              <a:ea typeface="+mn-ea"/>
              <a:cs typeface="+mn-cs"/>
            </a:rPr>
            <a:t>Vymazať dátumy</a:t>
          </a:r>
          <a:endParaRPr lang="de-DE"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200026</xdr:colOff>
      <xdr:row>2</xdr:row>
      <xdr:rowOff>38100</xdr:rowOff>
    </xdr:from>
    <xdr:to>
      <xdr:col>1</xdr:col>
      <xdr:colOff>1581149</xdr:colOff>
      <xdr:row>3</xdr:row>
      <xdr:rowOff>133350</xdr:rowOff>
    </xdr:to>
    <xdr:sp macro="[0]!SwitchLanguage" textlink="">
      <xdr:nvSpPr>
        <xdr:cNvPr id="2" name="Abgerundetes Rechteck 1"/>
        <xdr:cNvSpPr/>
      </xdr:nvSpPr>
      <xdr:spPr>
        <a:xfrm>
          <a:off x="2038351" y="466725"/>
          <a:ext cx="1381123" cy="2857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Prepnúť jazyk</a:t>
          </a:r>
        </a:p>
      </xdr:txBody>
    </xdr:sp>
    <xdr:clientData/>
  </xdr:twoCellAnchor>
  <xdr:twoCellAnchor>
    <xdr:from>
      <xdr:col>1</xdr:col>
      <xdr:colOff>1752600</xdr:colOff>
      <xdr:row>2</xdr:row>
      <xdr:rowOff>38100</xdr:rowOff>
    </xdr:from>
    <xdr:to>
      <xdr:col>1</xdr:col>
      <xdr:colOff>3133723</xdr:colOff>
      <xdr:row>3</xdr:row>
      <xdr:rowOff>133350</xdr:rowOff>
    </xdr:to>
    <xdr:sp macro="[0]!ShowAboutBox" textlink="">
      <xdr:nvSpPr>
        <xdr:cNvPr id="3" name="Abgerundetes Rechteck 2"/>
        <xdr:cNvSpPr/>
      </xdr:nvSpPr>
      <xdr:spPr>
        <a:xfrm>
          <a:off x="3590925" y="466725"/>
          <a:ext cx="1381123" cy="2857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sk-SK" sz="1100">
              <a:solidFill>
                <a:schemeClr val="dk1"/>
              </a:solidFill>
              <a:latin typeface="+mn-lt"/>
              <a:ea typeface="+mn-ea"/>
              <a:cs typeface="+mn-cs"/>
            </a:rPr>
            <a:t>O programe…</a:t>
          </a:r>
          <a:endParaRPr lang="de-DE" sz="1100">
            <a:solidFill>
              <a:schemeClr val="dk1"/>
            </a:solidFill>
            <a:latin typeface="+mn-lt"/>
            <a:ea typeface="+mn-ea"/>
            <a:cs typeface="+mn-cs"/>
          </a:endParaRPr>
        </a:p>
      </xdr:txBody>
    </xdr:sp>
    <xdr:clientData/>
  </xdr:twoCellAnchor>
</xdr:wsDr>
</file>

<file path=xl/tables/table1.xml><?xml version="1.0" encoding="utf-8"?>
<table xmlns="http://schemas.openxmlformats.org/spreadsheetml/2006/main" id="1" name="Tabelle1" displayName="Tabelle1" ref="A3:N99" totalsRowShown="0" headerRowDxfId="20" dataDxfId="19">
  <autoFilter ref="A3:N99"/>
  <tableColumns count="14">
    <tableColumn id="2" name="Jedlo" dataDxfId="18"/>
    <tableColumn id="3" name="Varianty / Prílohy" dataDxfId="17"/>
    <tableColumn id="4" name="Kategória" dataDxfId="16"/>
    <tableColumn id="18" name="Naposledy varené" dataDxfId="15"/>
    <tableColumn id="1" name="Predtým varené" dataDxfId="14"/>
    <tableColumn id="7" name="Náročnosť" dataDxfId="13"/>
    <tableColumn id="10" name="Obľúbenosť" dataDxfId="12"/>
    <tableColumn id="5" name="Mäso" dataDxfId="11"/>
    <tableColumn id="6" name="Ryba" dataDxfId="10"/>
    <tableColumn id="14" name="Obsahuje mäso" dataDxfId="9"/>
    <tableColumn id="9" name="Sezónne" dataDxfId="8"/>
    <tableColumn id="8" name="Zdravosť" dataDxfId="7"/>
    <tableColumn id="15" name="Cena" dataDxfId="6"/>
    <tableColumn id="16" name="Suroviny" dataDxfId="5"/>
  </tableColumns>
  <tableStyleInfo name="TableStyleMedium2" showFirstColumn="0" showLastColumn="0" showRowStripes="1" showColumnStripes="0"/>
</table>
</file>

<file path=xl/tables/table2.xml><?xml version="1.0" encoding="utf-8"?>
<table xmlns="http://schemas.openxmlformats.org/spreadsheetml/2006/main" id="2" name="Tabelle2" displayName="Tabelle2" ref="A6:D109" totalsRowShown="0" headerRowDxfId="4">
  <autoFilter ref="A6:D109"/>
  <tableColumns count="4">
    <tableColumn id="1" name="Id" dataDxfId="3"/>
    <tableColumn id="4" name="EN" dataDxfId="2"/>
    <tableColumn id="3" name="DE" dataDxfId="1"/>
    <tableColumn id="2" name="SK" dataDxfId="0"/>
  </tableColumns>
  <tableStyleInfo name="TableStyleMedium2" showFirstColumn="0" showLastColumn="0" showRowStripes="1" showColumnStripes="0"/>
</table>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_Plan">
    <pageSetUpPr fitToPage="1"/>
  </sheetPr>
  <dimension ref="A1:G37"/>
  <sheetViews>
    <sheetView tabSelected="1" workbookViewId="0">
      <selection activeCell="A2" sqref="A2"/>
    </sheetView>
  </sheetViews>
  <sheetFormatPr baseColWidth="10" defaultRowHeight="15" x14ac:dyDescent="0.25"/>
  <cols>
    <col min="1" max="1" width="17.42578125" customWidth="1"/>
    <col min="2" max="2" width="11" customWidth="1"/>
    <col min="3" max="3" width="11.85546875" customWidth="1"/>
    <col min="4" max="4" width="13.5703125" customWidth="1"/>
    <col min="5" max="5" width="23.140625" customWidth="1"/>
    <col min="6" max="6" width="38" customWidth="1"/>
    <col min="7" max="7" width="47.140625" customWidth="1"/>
    <col min="8" max="8" width="8.42578125" customWidth="1"/>
    <col min="9" max="13" width="25.85546875" bestFit="1" customWidth="1"/>
  </cols>
  <sheetData>
    <row r="1" spans="1:7" ht="18.75" x14ac:dyDescent="0.3">
      <c r="A1" s="6" t="str">
        <f ca="1">MID(CELL("filename",A1),FIND("]",CELL("filename",A1))+1,256)</f>
        <v>Plánovanie</v>
      </c>
      <c r="E1" s="47"/>
    </row>
    <row r="3" spans="1:7" x14ac:dyDescent="0.25">
      <c r="A3" t="s">
        <v>71</v>
      </c>
      <c r="B3" s="7">
        <v>45124</v>
      </c>
    </row>
    <row r="4" spans="1:7" x14ac:dyDescent="0.25">
      <c r="A4" t="s">
        <v>72</v>
      </c>
      <c r="B4">
        <v>28</v>
      </c>
      <c r="C4" s="7"/>
      <c r="D4" s="7"/>
    </row>
    <row r="5" spans="1:7" x14ac:dyDescent="0.25">
      <c r="A5" s="11" t="s">
        <v>341</v>
      </c>
      <c r="B5" s="11">
        <v>0</v>
      </c>
    </row>
    <row r="9" spans="1:7" x14ac:dyDescent="0.25">
      <c r="A9" s="40" t="s">
        <v>80</v>
      </c>
      <c r="B9" s="40" t="s">
        <v>81</v>
      </c>
      <c r="C9" s="40" t="s">
        <v>82</v>
      </c>
      <c r="D9" s="40" t="s">
        <v>306</v>
      </c>
      <c r="E9" s="40" t="s">
        <v>83</v>
      </c>
      <c r="F9" s="40" t="s">
        <v>1</v>
      </c>
      <c r="G9" s="40" t="s">
        <v>84</v>
      </c>
    </row>
    <row r="10" spans="1:7" x14ac:dyDescent="0.25">
      <c r="A10" s="45">
        <v>45124</v>
      </c>
      <c r="B10" s="46" t="str">
        <f>CHOOSE(WEEKDAY(A10,2),"Pondelok","Utorok","Streda","Štvrtok","Piatok","Sobota","Nedeľa")</f>
        <v>Pondelok</v>
      </c>
      <c r="C10" s="44">
        <v>2</v>
      </c>
      <c r="D10" s="43">
        <v>1</v>
      </c>
      <c r="E10" s="46" t="s">
        <v>497</v>
      </c>
      <c r="F10" s="46" t="s">
        <v>505</v>
      </c>
      <c r="G10" s="46" t="s">
        <v>420</v>
      </c>
    </row>
    <row r="11" spans="1:7" x14ac:dyDescent="0.25">
      <c r="A11" s="45">
        <v>45125</v>
      </c>
      <c r="B11" s="46" t="str">
        <f>CHOOSE(WEEKDAY(A11,2),"Pondelok","Utorok","Streda","Štvrtok","Piatok","Sobota","Nedeľa")</f>
        <v>Utorok</v>
      </c>
      <c r="C11" s="44">
        <v>2</v>
      </c>
      <c r="D11" s="44">
        <v>3</v>
      </c>
      <c r="E11" s="46" t="s">
        <v>451</v>
      </c>
      <c r="F11" s="46" t="s">
        <v>453</v>
      </c>
      <c r="G11" s="46"/>
    </row>
    <row r="12" spans="1:7" x14ac:dyDescent="0.25">
      <c r="A12" s="45">
        <v>45126</v>
      </c>
      <c r="B12" s="46" t="str">
        <f>CHOOSE(WEEKDAY(A12,2),"Pondelok","Utorok","Streda","Štvrtok","Piatok","Sobota","Nedeľa")</f>
        <v>Streda</v>
      </c>
      <c r="C12" s="44">
        <v>1</v>
      </c>
      <c r="D12" s="44">
        <v>2</v>
      </c>
      <c r="E12" s="46" t="s">
        <v>514</v>
      </c>
      <c r="F12" s="46" t="s">
        <v>526</v>
      </c>
      <c r="G12" s="46"/>
    </row>
    <row r="13" spans="1:7" x14ac:dyDescent="0.25">
      <c r="A13" s="45">
        <v>45127</v>
      </c>
      <c r="B13" s="46" t="str">
        <f>CHOOSE(WEEKDAY(A13,2),"Pondelok","Utorok","Streda","Štvrtok","Piatok","Sobota","Nedeľa")</f>
        <v>Štvrtok</v>
      </c>
      <c r="C13" s="44">
        <v>2</v>
      </c>
      <c r="D13" s="44">
        <v>2</v>
      </c>
      <c r="E13" s="46" t="s">
        <v>585</v>
      </c>
      <c r="F13" s="46" t="s">
        <v>587</v>
      </c>
      <c r="G13" s="46"/>
    </row>
    <row r="14" spans="1:7" x14ac:dyDescent="0.25">
      <c r="A14" s="45">
        <v>45128</v>
      </c>
      <c r="B14" s="46" t="str">
        <f>CHOOSE(WEEKDAY(A14,2),"Pondelok","Utorok","Streda","Štvrtok","Piatok","Sobota","Nedeľa")</f>
        <v>Piatok</v>
      </c>
      <c r="C14" s="44">
        <v>2</v>
      </c>
      <c r="D14" s="44">
        <v>3</v>
      </c>
      <c r="E14" s="46" t="s">
        <v>467</v>
      </c>
      <c r="F14" s="46" t="s">
        <v>472</v>
      </c>
      <c r="G14" s="46" t="s">
        <v>473</v>
      </c>
    </row>
    <row r="15" spans="1:7" x14ac:dyDescent="0.25">
      <c r="A15" s="41">
        <v>45129</v>
      </c>
      <c r="B15" s="42" t="str">
        <f>CHOOSE(WEEKDAY(A15,2),"Pondelok","Utorok","Streda","Štvrtok","Piatok","Sobota","Nedeľa")</f>
        <v>Sobota</v>
      </c>
      <c r="C15" s="44">
        <v>1</v>
      </c>
      <c r="D15" s="44">
        <v>2</v>
      </c>
      <c r="E15" s="46" t="s">
        <v>420</v>
      </c>
      <c r="F15" s="46" t="s">
        <v>447</v>
      </c>
      <c r="G15" s="46"/>
    </row>
    <row r="16" spans="1:7" x14ac:dyDescent="0.25">
      <c r="A16" s="41">
        <v>45130</v>
      </c>
      <c r="B16" s="42" t="str">
        <f>CHOOSE(WEEKDAY(A16,2),"Pondelok","Utorok","Streda","Štvrtok","Piatok","Sobota","Nedeľa")</f>
        <v>Nedeľa</v>
      </c>
      <c r="C16" s="43">
        <v>3</v>
      </c>
      <c r="D16" s="44">
        <v>3</v>
      </c>
      <c r="E16" s="46" t="s">
        <v>548</v>
      </c>
      <c r="F16" s="46" t="s">
        <v>566</v>
      </c>
      <c r="G16" s="46"/>
    </row>
    <row r="17" spans="1:7" x14ac:dyDescent="0.25">
      <c r="A17" s="45">
        <v>45131</v>
      </c>
      <c r="B17" s="46" t="str">
        <f>CHOOSE(WEEKDAY(A17,2),"Pondelok","Utorok","Streda","Štvrtok","Piatok","Sobota","Nedeľa")</f>
        <v>Pondelok</v>
      </c>
      <c r="C17" s="44">
        <v>1</v>
      </c>
      <c r="D17" s="44">
        <v>2</v>
      </c>
      <c r="E17" s="46" t="s">
        <v>514</v>
      </c>
      <c r="F17" s="46" t="s">
        <v>516</v>
      </c>
      <c r="G17" s="46"/>
    </row>
    <row r="18" spans="1:7" x14ac:dyDescent="0.25">
      <c r="A18" s="45">
        <v>45132</v>
      </c>
      <c r="B18" s="46" t="str">
        <f>CHOOSE(WEEKDAY(A18,2),"Pondelok","Utorok","Streda","Štvrtok","Piatok","Sobota","Nedeľa")</f>
        <v>Utorok</v>
      </c>
      <c r="C18" s="44">
        <v>2</v>
      </c>
      <c r="D18" s="44">
        <v>2</v>
      </c>
      <c r="E18" s="46" t="s">
        <v>467</v>
      </c>
      <c r="F18" s="46" t="s">
        <v>480</v>
      </c>
      <c r="G18" s="46" t="s">
        <v>481</v>
      </c>
    </row>
    <row r="19" spans="1:7" x14ac:dyDescent="0.25">
      <c r="A19" s="45">
        <v>45133</v>
      </c>
      <c r="B19" s="46" t="str">
        <f>CHOOSE(WEEKDAY(A19,2),"Pondelok","Utorok","Streda","Štvrtok","Piatok","Sobota","Nedeľa")</f>
        <v>Streda</v>
      </c>
      <c r="C19" s="44">
        <v>1</v>
      </c>
      <c r="D19" s="44">
        <v>2</v>
      </c>
      <c r="E19" s="46" t="s">
        <v>537</v>
      </c>
      <c r="F19" s="46" t="s">
        <v>544</v>
      </c>
      <c r="G19" s="46" t="s">
        <v>545</v>
      </c>
    </row>
    <row r="20" spans="1:7" x14ac:dyDescent="0.25">
      <c r="A20" s="45">
        <v>45134</v>
      </c>
      <c r="B20" s="46" t="str">
        <f>CHOOSE(WEEKDAY(A20,2),"Pondelok","Utorok","Streda","Štvrtok","Piatok","Sobota","Nedeľa")</f>
        <v>Štvrtok</v>
      </c>
      <c r="C20" s="44">
        <v>2</v>
      </c>
      <c r="D20" s="44">
        <v>3</v>
      </c>
      <c r="E20" s="46" t="s">
        <v>548</v>
      </c>
      <c r="F20" s="46" t="s">
        <v>554</v>
      </c>
      <c r="G20" s="46" t="s">
        <v>555</v>
      </c>
    </row>
    <row r="21" spans="1:7" x14ac:dyDescent="0.25">
      <c r="A21" s="45">
        <v>45135</v>
      </c>
      <c r="B21" s="46" t="str">
        <f>CHOOSE(WEEKDAY(A21,2),"Pondelok","Utorok","Streda","Štvrtok","Piatok","Sobota","Nedeľa")</f>
        <v>Piatok</v>
      </c>
      <c r="C21" s="44">
        <v>2</v>
      </c>
      <c r="D21" s="44">
        <v>2</v>
      </c>
      <c r="E21" s="46" t="s">
        <v>585</v>
      </c>
      <c r="F21" s="46" t="s">
        <v>597</v>
      </c>
      <c r="G21" s="46"/>
    </row>
    <row r="22" spans="1:7" x14ac:dyDescent="0.25">
      <c r="A22" s="41">
        <v>45136</v>
      </c>
      <c r="B22" s="42" t="str">
        <f>CHOOSE(WEEKDAY(A22,2),"Pondelok","Utorok","Streda","Štvrtok","Piatok","Sobota","Nedeľa")</f>
        <v>Sobota</v>
      </c>
      <c r="C22" s="43">
        <v>3</v>
      </c>
      <c r="D22" s="44">
        <v>4</v>
      </c>
      <c r="E22" s="46" t="s">
        <v>508</v>
      </c>
      <c r="F22" s="46" t="s">
        <v>0</v>
      </c>
      <c r="G22" s="46"/>
    </row>
    <row r="23" spans="1:7" x14ac:dyDescent="0.25">
      <c r="A23" s="41">
        <v>45137</v>
      </c>
      <c r="B23" s="42" t="str">
        <f>CHOOSE(WEEKDAY(A23,2),"Pondelok","Utorok","Streda","Štvrtok","Piatok","Sobota","Nedeľa")</f>
        <v>Nedeľa</v>
      </c>
      <c r="C23" s="44">
        <v>1</v>
      </c>
      <c r="D23" s="44">
        <v>2</v>
      </c>
      <c r="E23" s="46" t="s">
        <v>420</v>
      </c>
      <c r="F23" s="46" t="s">
        <v>438</v>
      </c>
      <c r="G23" s="46"/>
    </row>
    <row r="24" spans="1:7" x14ac:dyDescent="0.25">
      <c r="A24" s="45">
        <v>45138</v>
      </c>
      <c r="B24" s="46" t="str">
        <f>CHOOSE(WEEKDAY(A24,2),"Pondelok","Utorok","Streda","Štvrtok","Piatok","Sobota","Nedeľa")</f>
        <v>Pondelok</v>
      </c>
      <c r="C24" s="44">
        <v>2</v>
      </c>
      <c r="D24" s="44">
        <v>3</v>
      </c>
      <c r="E24" s="46" t="s">
        <v>467</v>
      </c>
      <c r="F24" s="46" t="s">
        <v>634</v>
      </c>
      <c r="G24" s="46" t="s">
        <v>635</v>
      </c>
    </row>
    <row r="25" spans="1:7" x14ac:dyDescent="0.25">
      <c r="A25" s="45">
        <v>45139</v>
      </c>
      <c r="B25" s="46" t="str">
        <f>CHOOSE(WEEKDAY(A25,2),"Pondelok","Utorok","Streda","Štvrtok","Piatok","Sobota","Nedeľa")</f>
        <v>Utorok</v>
      </c>
      <c r="C25" s="44">
        <v>2</v>
      </c>
      <c r="D25" s="44">
        <v>2</v>
      </c>
      <c r="E25" s="46" t="s">
        <v>622</v>
      </c>
      <c r="F25" s="46" t="s">
        <v>620</v>
      </c>
      <c r="G25" s="46" t="s">
        <v>621</v>
      </c>
    </row>
    <row r="26" spans="1:7" x14ac:dyDescent="0.25">
      <c r="A26" s="45">
        <v>45140</v>
      </c>
      <c r="B26" s="46" t="str">
        <f>CHOOSE(WEEKDAY(A26,2),"Pondelok","Utorok","Streda","Štvrtok","Piatok","Sobota","Nedeľa")</f>
        <v>Streda</v>
      </c>
      <c r="C26" s="44">
        <v>2</v>
      </c>
      <c r="D26" s="43">
        <v>1</v>
      </c>
      <c r="E26" s="46" t="s">
        <v>497</v>
      </c>
      <c r="F26" s="46" t="s">
        <v>502</v>
      </c>
      <c r="G26" s="46"/>
    </row>
    <row r="27" spans="1:7" x14ac:dyDescent="0.25">
      <c r="A27" s="45">
        <v>45141</v>
      </c>
      <c r="B27" s="46" t="str">
        <f>CHOOSE(WEEKDAY(A27,2),"Pondelok","Utorok","Streda","Štvrtok","Piatok","Sobota","Nedeľa")</f>
        <v>Štvrtok</v>
      </c>
      <c r="C27" s="44">
        <v>2</v>
      </c>
      <c r="D27" s="44">
        <v>2</v>
      </c>
      <c r="E27" s="46" t="s">
        <v>420</v>
      </c>
      <c r="F27" s="46" t="s">
        <v>421</v>
      </c>
      <c r="G27" s="46"/>
    </row>
    <row r="28" spans="1:7" x14ac:dyDescent="0.25">
      <c r="A28" s="45">
        <v>45142</v>
      </c>
      <c r="B28" s="46" t="str">
        <f>CHOOSE(WEEKDAY(A28,2),"Pondelok","Utorok","Streda","Štvrtok","Piatok","Sobota","Nedeľa")</f>
        <v>Piatok</v>
      </c>
      <c r="C28" s="44">
        <v>1</v>
      </c>
      <c r="D28" s="44">
        <v>2</v>
      </c>
      <c r="E28" s="46" t="s">
        <v>451</v>
      </c>
      <c r="F28" s="46" t="s">
        <v>458</v>
      </c>
      <c r="G28" s="46"/>
    </row>
    <row r="29" spans="1:7" x14ac:dyDescent="0.25">
      <c r="A29" s="41">
        <v>45143</v>
      </c>
      <c r="B29" s="42" t="str">
        <f>CHOOSE(WEEKDAY(A29,2),"Pondelok","Utorok","Streda","Štvrtok","Piatok","Sobota","Nedeľa")</f>
        <v>Sobota</v>
      </c>
      <c r="C29" s="43">
        <v>3</v>
      </c>
      <c r="D29" s="44">
        <v>3</v>
      </c>
      <c r="E29" s="46" t="s">
        <v>548</v>
      </c>
      <c r="F29" s="46" t="s">
        <v>567</v>
      </c>
      <c r="G29" s="46" t="s">
        <v>568</v>
      </c>
    </row>
    <row r="30" spans="1:7" x14ac:dyDescent="0.25">
      <c r="A30" s="41">
        <v>45144</v>
      </c>
      <c r="B30" s="42" t="str">
        <f>CHOOSE(WEEKDAY(A30,2),"Pondelok","Utorok","Streda","Štvrtok","Piatok","Sobota","Nedeľa")</f>
        <v>Nedeľa</v>
      </c>
      <c r="C30" s="44">
        <v>2</v>
      </c>
      <c r="D30" s="44">
        <v>2</v>
      </c>
      <c r="E30" s="46" t="s">
        <v>514</v>
      </c>
      <c r="F30" s="46" t="s">
        <v>528</v>
      </c>
      <c r="G30" s="46"/>
    </row>
    <row r="31" spans="1:7" x14ac:dyDescent="0.25">
      <c r="A31" s="45">
        <v>45145</v>
      </c>
      <c r="B31" s="46" t="str">
        <f>CHOOSE(WEEKDAY(A31,2),"Pondelok","Utorok","Streda","Štvrtok","Piatok","Sobota","Nedeľa")</f>
        <v>Pondelok</v>
      </c>
      <c r="C31" s="44">
        <v>2</v>
      </c>
      <c r="D31" s="44">
        <v>2</v>
      </c>
      <c r="E31" s="46" t="s">
        <v>585</v>
      </c>
      <c r="F31" s="46" t="s">
        <v>583</v>
      </c>
      <c r="G31" s="46" t="s">
        <v>584</v>
      </c>
    </row>
    <row r="32" spans="1:7" x14ac:dyDescent="0.25">
      <c r="A32" s="45">
        <v>45146</v>
      </c>
      <c r="B32" s="46" t="str">
        <f>CHOOSE(WEEKDAY(A32,2),"Pondelok","Utorok","Streda","Štvrtok","Piatok","Sobota","Nedeľa")</f>
        <v>Utorok</v>
      </c>
      <c r="C32" s="44">
        <v>2</v>
      </c>
      <c r="D32" s="44">
        <v>2</v>
      </c>
      <c r="E32" s="46" t="s">
        <v>467</v>
      </c>
      <c r="F32" s="46" t="s">
        <v>488</v>
      </c>
      <c r="G32" s="46"/>
    </row>
    <row r="33" spans="1:7" x14ac:dyDescent="0.25">
      <c r="A33" s="45">
        <v>45147</v>
      </c>
      <c r="B33" s="46" t="str">
        <f>CHOOSE(WEEKDAY(A33,2),"Pondelok","Utorok","Streda","Štvrtok","Piatok","Sobota","Nedeľa")</f>
        <v>Streda</v>
      </c>
      <c r="C33" s="44">
        <v>1</v>
      </c>
      <c r="D33" s="44">
        <v>3</v>
      </c>
      <c r="E33" s="46" t="s">
        <v>548</v>
      </c>
      <c r="F33" s="46" t="s">
        <v>562</v>
      </c>
      <c r="G33" s="46"/>
    </row>
    <row r="34" spans="1:7" x14ac:dyDescent="0.25">
      <c r="A34" s="45">
        <v>45148</v>
      </c>
      <c r="B34" s="46" t="str">
        <f>CHOOSE(WEEKDAY(A34,2),"Pondelok","Utorok","Streda","Štvrtok","Piatok","Sobota","Nedeľa")</f>
        <v>Štvrtok</v>
      </c>
      <c r="C34" s="44">
        <v>1</v>
      </c>
      <c r="D34" s="44">
        <v>3</v>
      </c>
      <c r="E34" s="46" t="s">
        <v>537</v>
      </c>
      <c r="F34" s="46" t="s">
        <v>542</v>
      </c>
      <c r="G34" s="46"/>
    </row>
    <row r="35" spans="1:7" x14ac:dyDescent="0.25">
      <c r="A35" s="45">
        <v>45149</v>
      </c>
      <c r="B35" s="46" t="str">
        <f>CHOOSE(WEEKDAY(A35,2),"Pondelok","Utorok","Streda","Štvrtok","Piatok","Sobota","Nedeľa")</f>
        <v>Piatok</v>
      </c>
      <c r="C35" s="44">
        <v>1</v>
      </c>
      <c r="D35" s="44">
        <v>2</v>
      </c>
      <c r="E35" s="46" t="s">
        <v>420</v>
      </c>
      <c r="F35" s="46" t="s">
        <v>434</v>
      </c>
      <c r="G35" s="46" t="s">
        <v>430</v>
      </c>
    </row>
    <row r="36" spans="1:7" x14ac:dyDescent="0.25">
      <c r="A36" s="41">
        <v>45150</v>
      </c>
      <c r="B36" s="42" t="str">
        <f>CHOOSE(WEEKDAY(A36,2),"Pondelok","Utorok","Streda","Štvrtok","Piatok","Sobota","Nedeľa")</f>
        <v>Sobota</v>
      </c>
      <c r="C36" s="44">
        <v>2</v>
      </c>
      <c r="D36" s="44">
        <v>2</v>
      </c>
      <c r="E36" s="46" t="s">
        <v>585</v>
      </c>
      <c r="F36" s="46" t="s">
        <v>591</v>
      </c>
      <c r="G36" s="46" t="s">
        <v>592</v>
      </c>
    </row>
    <row r="37" spans="1:7" x14ac:dyDescent="0.25">
      <c r="A37" s="41">
        <v>45151</v>
      </c>
      <c r="B37" s="42" t="str">
        <f>CHOOSE(WEEKDAY(A37,2),"Pondelok","Utorok","Streda","Štvrtok","Piatok","Sobota","Nedeľa")</f>
        <v>Nedeľa</v>
      </c>
      <c r="C37" s="43">
        <v>3</v>
      </c>
      <c r="D37" s="44">
        <v>3</v>
      </c>
      <c r="E37" s="46" t="s">
        <v>508</v>
      </c>
      <c r="F37" s="46" t="s">
        <v>510</v>
      </c>
      <c r="G37" s="46"/>
    </row>
  </sheetData>
  <sortState ref="A10:E66">
    <sortCondition ref="A10:A66"/>
  </sortState>
  <dataConsolidate/>
  <pageMargins left="0.25" right="0.25" top="0.75" bottom="0.75" header="0.3" footer="0.3"/>
  <pageSetup paperSize="9" scale="87"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_Rules"/>
  <dimension ref="A1:C24"/>
  <sheetViews>
    <sheetView workbookViewId="0">
      <selection activeCell="A2" sqref="A2"/>
    </sheetView>
  </sheetViews>
  <sheetFormatPr baseColWidth="10" defaultRowHeight="15" x14ac:dyDescent="0.25"/>
  <cols>
    <col min="1" max="1" width="55.42578125" bestFit="1" customWidth="1"/>
    <col min="2" max="2" width="35" customWidth="1"/>
    <col min="3" max="3" width="5.85546875" bestFit="1" customWidth="1"/>
    <col min="4" max="4" width="10.85546875" customWidth="1"/>
  </cols>
  <sheetData>
    <row r="1" spans="1:3" ht="18.75" x14ac:dyDescent="0.3">
      <c r="A1" s="6" t="str">
        <f ca="1">MID(CELL("filename",A1),FIND("]",CELL("filename",A1))+1,256)</f>
        <v>Pravidlá</v>
      </c>
    </row>
    <row r="3" spans="1:3" x14ac:dyDescent="0.25">
      <c r="A3" t="s">
        <v>418</v>
      </c>
      <c r="B3">
        <v>6</v>
      </c>
    </row>
    <row r="5" spans="1:3" x14ac:dyDescent="0.25">
      <c r="A5" t="s">
        <v>208</v>
      </c>
      <c r="B5">
        <v>2</v>
      </c>
    </row>
    <row r="6" spans="1:3" x14ac:dyDescent="0.25">
      <c r="A6" t="s">
        <v>210</v>
      </c>
      <c r="B6">
        <v>1</v>
      </c>
    </row>
    <row r="8" spans="1:3" x14ac:dyDescent="0.25">
      <c r="A8" t="s">
        <v>307</v>
      </c>
      <c r="B8">
        <v>1</v>
      </c>
    </row>
    <row r="9" spans="1:3" x14ac:dyDescent="0.25">
      <c r="A9" t="s">
        <v>209</v>
      </c>
      <c r="B9">
        <v>2</v>
      </c>
    </row>
    <row r="11" spans="1:3" x14ac:dyDescent="0.25">
      <c r="A11" s="18" t="s">
        <v>87</v>
      </c>
      <c r="B11" s="18">
        <f>SUM(B15:B25)</f>
        <v>28</v>
      </c>
      <c r="C11" s="18" t="s">
        <v>88</v>
      </c>
    </row>
    <row r="13" spans="1:3" x14ac:dyDescent="0.25">
      <c r="A13" s="5" t="s">
        <v>85</v>
      </c>
      <c r="B13" s="10"/>
      <c r="C13" s="10"/>
    </row>
    <row r="14" spans="1:3" x14ac:dyDescent="0.25">
      <c r="A14" s="8" t="s">
        <v>83</v>
      </c>
      <c r="B14" s="9" t="s">
        <v>86</v>
      </c>
    </row>
    <row r="15" spans="1:3" x14ac:dyDescent="0.25">
      <c r="A15" s="1" t="s">
        <v>420</v>
      </c>
      <c r="B15" s="2">
        <v>4</v>
      </c>
    </row>
    <row r="16" spans="1:3" x14ac:dyDescent="0.25">
      <c r="A16" s="3" t="s">
        <v>467</v>
      </c>
      <c r="B16" s="4">
        <v>4</v>
      </c>
    </row>
    <row r="17" spans="1:2" x14ac:dyDescent="0.25">
      <c r="A17" s="1" t="s">
        <v>548</v>
      </c>
      <c r="B17" s="2">
        <v>4</v>
      </c>
    </row>
    <row r="18" spans="1:2" x14ac:dyDescent="0.25">
      <c r="A18" s="3" t="s">
        <v>585</v>
      </c>
      <c r="B18" s="4">
        <v>4</v>
      </c>
    </row>
    <row r="19" spans="1:2" x14ac:dyDescent="0.25">
      <c r="A19" s="1" t="s">
        <v>514</v>
      </c>
      <c r="B19" s="2">
        <v>3</v>
      </c>
    </row>
    <row r="20" spans="1:2" x14ac:dyDescent="0.25">
      <c r="A20" s="3" t="s">
        <v>451</v>
      </c>
      <c r="B20" s="4">
        <v>2</v>
      </c>
    </row>
    <row r="21" spans="1:2" x14ac:dyDescent="0.25">
      <c r="A21" s="1" t="s">
        <v>497</v>
      </c>
      <c r="B21" s="2">
        <v>2</v>
      </c>
    </row>
    <row r="22" spans="1:2" x14ac:dyDescent="0.25">
      <c r="A22" s="3" t="s">
        <v>508</v>
      </c>
      <c r="B22" s="4">
        <v>2</v>
      </c>
    </row>
    <row r="23" spans="1:2" x14ac:dyDescent="0.25">
      <c r="A23" s="1" t="s">
        <v>537</v>
      </c>
      <c r="B23" s="2">
        <v>2</v>
      </c>
    </row>
    <row r="24" spans="1:2" x14ac:dyDescent="0.25">
      <c r="A24" s="3" t="s">
        <v>622</v>
      </c>
      <c r="B24" s="4">
        <v>1</v>
      </c>
    </row>
  </sheetData>
  <pageMargins left="0.7" right="0.7" top="0.78740157499999996" bottom="0.78740157499999996"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_Meals"/>
  <dimension ref="A1:N99"/>
  <sheetViews>
    <sheetView zoomScaleNormal="100" workbookViewId="0">
      <selection activeCell="A2" sqref="A2"/>
    </sheetView>
  </sheetViews>
  <sheetFormatPr baseColWidth="10" defaultRowHeight="15" x14ac:dyDescent="0.25"/>
  <cols>
    <col min="1" max="1" width="34.7109375" bestFit="1" customWidth="1"/>
    <col min="2" max="2" width="42.85546875" bestFit="1" customWidth="1"/>
    <col min="3" max="3" width="20.28515625" bestFit="1" customWidth="1"/>
    <col min="4" max="4" width="18.140625" customWidth="1"/>
    <col min="5" max="5" width="10.140625" customWidth="1"/>
    <col min="6" max="6" width="10.42578125" bestFit="1" customWidth="1"/>
    <col min="7" max="7" width="11.42578125" bestFit="1" customWidth="1"/>
    <col min="8" max="8" width="12.7109375" customWidth="1"/>
    <col min="9" max="9" width="11.28515625" customWidth="1"/>
    <col min="10" max="10" width="14.140625" bestFit="1" customWidth="1"/>
    <col min="11" max="11" width="11.42578125" customWidth="1"/>
    <col min="12" max="12" width="10.85546875" customWidth="1"/>
    <col min="13" max="13" width="12.5703125" customWidth="1"/>
    <col min="14" max="14" width="57.85546875" bestFit="1" customWidth="1"/>
    <col min="15" max="15" width="11.140625" bestFit="1" customWidth="1"/>
    <col min="16" max="16" width="16" customWidth="1"/>
  </cols>
  <sheetData>
    <row r="1" spans="1:14" ht="18.75" x14ac:dyDescent="0.3">
      <c r="A1" s="6" t="str">
        <f ca="1">MID(CELL("filename",A1),FIND("]",CELL("filename",A1))+1,256)</f>
        <v>Jedlá</v>
      </c>
    </row>
    <row r="3" spans="1:14" x14ac:dyDescent="0.25">
      <c r="A3" s="12" t="s">
        <v>1</v>
      </c>
      <c r="B3" s="12" t="s">
        <v>84</v>
      </c>
      <c r="C3" s="12" t="s">
        <v>83</v>
      </c>
      <c r="D3" s="12" t="s">
        <v>90</v>
      </c>
      <c r="E3" s="12" t="s">
        <v>372</v>
      </c>
      <c r="F3" s="12" t="s">
        <v>82</v>
      </c>
      <c r="G3" s="12" t="s">
        <v>306</v>
      </c>
      <c r="H3" s="12" t="s">
        <v>404</v>
      </c>
      <c r="I3" s="12" t="s">
        <v>2</v>
      </c>
      <c r="J3" s="12" t="s">
        <v>406</v>
      </c>
      <c r="K3" s="12" t="s">
        <v>91</v>
      </c>
      <c r="L3" s="12" t="s">
        <v>92</v>
      </c>
      <c r="M3" s="12" t="s">
        <v>4</v>
      </c>
      <c r="N3" s="12" t="s">
        <v>5</v>
      </c>
    </row>
    <row r="4" spans="1:14" x14ac:dyDescent="0.25">
      <c r="A4" s="12" t="s">
        <v>419</v>
      </c>
      <c r="B4" s="12"/>
      <c r="C4" s="12" t="s">
        <v>574</v>
      </c>
      <c r="D4" s="13"/>
      <c r="E4" s="34"/>
      <c r="F4" s="26">
        <v>1</v>
      </c>
      <c r="G4" s="14">
        <v>2</v>
      </c>
      <c r="H4" s="14"/>
      <c r="I4" s="14"/>
      <c r="J4" s="14">
        <v>0</v>
      </c>
      <c r="K4" s="14"/>
      <c r="L4" s="14"/>
      <c r="M4" s="14"/>
      <c r="N4" s="12"/>
    </row>
    <row r="5" spans="1:14" x14ac:dyDescent="0.25">
      <c r="A5" s="12" t="s">
        <v>421</v>
      </c>
      <c r="B5" s="12"/>
      <c r="C5" s="12" t="s">
        <v>420</v>
      </c>
      <c r="D5" s="13"/>
      <c r="E5" s="34"/>
      <c r="F5" s="26">
        <v>2</v>
      </c>
      <c r="G5" s="14">
        <v>2</v>
      </c>
      <c r="H5" s="14"/>
      <c r="I5" s="14"/>
      <c r="J5" s="14">
        <v>0</v>
      </c>
      <c r="K5" s="14"/>
      <c r="L5" s="14"/>
      <c r="M5" s="14"/>
      <c r="N5" s="12" t="s">
        <v>422</v>
      </c>
    </row>
    <row r="6" spans="1:14" x14ac:dyDescent="0.25">
      <c r="A6" s="12" t="s">
        <v>423</v>
      </c>
      <c r="B6" s="12"/>
      <c r="C6" s="12" t="s">
        <v>420</v>
      </c>
      <c r="D6" s="13"/>
      <c r="E6" s="34"/>
      <c r="F6" s="26">
        <v>2</v>
      </c>
      <c r="G6" s="36">
        <v>0</v>
      </c>
      <c r="H6" s="14"/>
      <c r="I6" s="14"/>
      <c r="J6" s="14">
        <v>0</v>
      </c>
      <c r="K6" s="14"/>
      <c r="L6" s="14"/>
      <c r="M6" s="14"/>
      <c r="N6" s="12" t="s">
        <v>424</v>
      </c>
    </row>
    <row r="7" spans="1:14" x14ac:dyDescent="0.25">
      <c r="A7" s="27" t="s">
        <v>301</v>
      </c>
      <c r="B7" s="27" t="s">
        <v>425</v>
      </c>
      <c r="C7" s="12" t="s">
        <v>420</v>
      </c>
      <c r="D7" s="28"/>
      <c r="E7" s="34"/>
      <c r="F7" s="29">
        <v>3</v>
      </c>
      <c r="G7" s="30">
        <v>3</v>
      </c>
      <c r="H7" s="30"/>
      <c r="I7" s="30"/>
      <c r="J7" s="32">
        <v>1</v>
      </c>
      <c r="K7" s="30"/>
      <c r="L7" s="30"/>
      <c r="M7" s="30"/>
      <c r="N7" s="27" t="s">
        <v>426</v>
      </c>
    </row>
    <row r="8" spans="1:14" x14ac:dyDescent="0.25">
      <c r="A8" s="12" t="s">
        <v>427</v>
      </c>
      <c r="B8" s="12" t="s">
        <v>428</v>
      </c>
      <c r="C8" s="12" t="s">
        <v>420</v>
      </c>
      <c r="D8" s="13"/>
      <c r="E8" s="34"/>
      <c r="F8" s="26">
        <v>1</v>
      </c>
      <c r="G8" s="14">
        <v>2</v>
      </c>
      <c r="H8" s="14"/>
      <c r="I8" s="14"/>
      <c r="J8" s="14">
        <v>0</v>
      </c>
      <c r="K8" s="14"/>
      <c r="L8" s="14"/>
      <c r="M8" s="14"/>
      <c r="N8" s="12" t="s">
        <v>639</v>
      </c>
    </row>
    <row r="9" spans="1:14" x14ac:dyDescent="0.25">
      <c r="A9" s="12" t="s">
        <v>429</v>
      </c>
      <c r="B9" s="12" t="s">
        <v>430</v>
      </c>
      <c r="C9" s="12" t="s">
        <v>420</v>
      </c>
      <c r="D9" s="13"/>
      <c r="E9" s="34"/>
      <c r="F9" s="26">
        <v>1</v>
      </c>
      <c r="G9" s="14">
        <v>2</v>
      </c>
      <c r="H9" s="14"/>
      <c r="I9" s="14"/>
      <c r="J9" s="14">
        <v>0</v>
      </c>
      <c r="K9" s="14"/>
      <c r="L9" s="14"/>
      <c r="M9" s="14"/>
      <c r="N9" s="12" t="s">
        <v>431</v>
      </c>
    </row>
    <row r="10" spans="1:14" x14ac:dyDescent="0.25">
      <c r="A10" s="12" t="s">
        <v>432</v>
      </c>
      <c r="B10" s="12" t="s">
        <v>433</v>
      </c>
      <c r="C10" s="12" t="s">
        <v>420</v>
      </c>
      <c r="D10" s="28"/>
      <c r="E10" s="34"/>
      <c r="F10" s="26">
        <v>1</v>
      </c>
      <c r="G10" s="14">
        <v>2</v>
      </c>
      <c r="H10" s="14"/>
      <c r="I10" s="14"/>
      <c r="J10" s="14">
        <v>0</v>
      </c>
      <c r="K10" s="14"/>
      <c r="L10" s="14"/>
      <c r="M10" s="14"/>
      <c r="N10" s="12"/>
    </row>
    <row r="11" spans="1:14" x14ac:dyDescent="0.25">
      <c r="A11" s="12" t="s">
        <v>434</v>
      </c>
      <c r="B11" s="12" t="s">
        <v>430</v>
      </c>
      <c r="C11" s="12" t="s">
        <v>420</v>
      </c>
      <c r="D11" s="13"/>
      <c r="E11" s="34"/>
      <c r="F11" s="26">
        <v>1</v>
      </c>
      <c r="G11" s="14">
        <v>2</v>
      </c>
      <c r="H11" s="14"/>
      <c r="I11" s="14"/>
      <c r="J11" s="14">
        <v>0</v>
      </c>
      <c r="K11" s="14"/>
      <c r="L11" s="14"/>
      <c r="M11" s="14"/>
      <c r="N11" s="12" t="s">
        <v>435</v>
      </c>
    </row>
    <row r="12" spans="1:14" x14ac:dyDescent="0.25">
      <c r="A12" s="27" t="s">
        <v>436</v>
      </c>
      <c r="B12" s="12" t="s">
        <v>430</v>
      </c>
      <c r="C12" s="12" t="s">
        <v>420</v>
      </c>
      <c r="D12" s="28"/>
      <c r="E12" s="34"/>
      <c r="F12" s="29">
        <v>1</v>
      </c>
      <c r="G12" s="14">
        <v>2</v>
      </c>
      <c r="H12" s="30"/>
      <c r="I12" s="30"/>
      <c r="J12" s="30">
        <v>0</v>
      </c>
      <c r="K12" s="30"/>
      <c r="L12" s="30"/>
      <c r="M12" s="30"/>
      <c r="N12" s="27" t="s">
        <v>437</v>
      </c>
    </row>
    <row r="13" spans="1:14" x14ac:dyDescent="0.25">
      <c r="A13" s="27" t="s">
        <v>438</v>
      </c>
      <c r="B13" s="27"/>
      <c r="C13" s="12" t="s">
        <v>420</v>
      </c>
      <c r="D13" s="28"/>
      <c r="E13" s="34"/>
      <c r="F13" s="29">
        <v>1</v>
      </c>
      <c r="G13" s="14">
        <v>2</v>
      </c>
      <c r="H13" s="30"/>
      <c r="I13" s="30"/>
      <c r="J13" s="30">
        <v>0</v>
      </c>
      <c r="K13" s="30"/>
      <c r="L13" s="30"/>
      <c r="M13" s="30"/>
      <c r="N13" s="27" t="s">
        <v>439</v>
      </c>
    </row>
    <row r="14" spans="1:14" x14ac:dyDescent="0.25">
      <c r="A14" s="12" t="s">
        <v>440</v>
      </c>
      <c r="B14" s="12"/>
      <c r="C14" s="12" t="s">
        <v>420</v>
      </c>
      <c r="D14" s="13"/>
      <c r="E14" s="34"/>
      <c r="F14" s="26">
        <v>2</v>
      </c>
      <c r="G14" s="14">
        <v>2</v>
      </c>
      <c r="H14" s="14"/>
      <c r="I14" s="14"/>
      <c r="J14" s="14">
        <v>1</v>
      </c>
      <c r="K14" s="14"/>
      <c r="L14" s="14"/>
      <c r="M14" s="14"/>
      <c r="N14" s="12" t="s">
        <v>441</v>
      </c>
    </row>
    <row r="15" spans="1:14" x14ac:dyDescent="0.25">
      <c r="A15" s="27" t="s">
        <v>302</v>
      </c>
      <c r="B15" s="27" t="s">
        <v>442</v>
      </c>
      <c r="C15" s="12" t="s">
        <v>420</v>
      </c>
      <c r="D15" s="28"/>
      <c r="E15" s="34"/>
      <c r="F15" s="29">
        <v>2</v>
      </c>
      <c r="G15" s="30">
        <v>3</v>
      </c>
      <c r="H15" s="30"/>
      <c r="I15" s="30"/>
      <c r="J15" s="32">
        <v>1</v>
      </c>
      <c r="K15" s="30"/>
      <c r="L15" s="30"/>
      <c r="M15" s="30"/>
      <c r="N15" s="27" t="s">
        <v>443</v>
      </c>
    </row>
    <row r="16" spans="1:14" x14ac:dyDescent="0.25">
      <c r="A16" s="27" t="s">
        <v>444</v>
      </c>
      <c r="B16" s="12" t="s">
        <v>445</v>
      </c>
      <c r="C16" s="12" t="s">
        <v>420</v>
      </c>
      <c r="D16" s="28"/>
      <c r="E16" s="34"/>
      <c r="F16" s="29">
        <v>1</v>
      </c>
      <c r="G16" s="14">
        <v>2</v>
      </c>
      <c r="H16" s="30"/>
      <c r="I16" s="30"/>
      <c r="J16" s="30">
        <v>0</v>
      </c>
      <c r="K16" s="30"/>
      <c r="L16" s="30"/>
      <c r="M16" s="30"/>
      <c r="N16" s="27" t="s">
        <v>446</v>
      </c>
    </row>
    <row r="17" spans="1:14" x14ac:dyDescent="0.25">
      <c r="A17" s="12" t="s">
        <v>447</v>
      </c>
      <c r="B17" s="12"/>
      <c r="C17" s="12" t="s">
        <v>420</v>
      </c>
      <c r="D17" s="13"/>
      <c r="E17" s="34"/>
      <c r="F17" s="26">
        <v>1</v>
      </c>
      <c r="G17" s="14">
        <v>2</v>
      </c>
      <c r="H17" s="14"/>
      <c r="I17" s="14"/>
      <c r="J17" s="14">
        <v>0</v>
      </c>
      <c r="K17" s="14"/>
      <c r="L17" s="14"/>
      <c r="M17" s="14"/>
      <c r="N17" s="12"/>
    </row>
    <row r="18" spans="1:14" x14ac:dyDescent="0.25">
      <c r="A18" s="12" t="s">
        <v>448</v>
      </c>
      <c r="B18" s="12"/>
      <c r="C18" s="12" t="s">
        <v>420</v>
      </c>
      <c r="D18" s="13"/>
      <c r="E18" s="34"/>
      <c r="F18" s="26">
        <v>2</v>
      </c>
      <c r="G18" s="14">
        <v>1</v>
      </c>
      <c r="H18" s="14"/>
      <c r="I18" s="14"/>
      <c r="J18" s="14">
        <v>0</v>
      </c>
      <c r="K18" s="14"/>
      <c r="L18" s="14"/>
      <c r="M18" s="14"/>
      <c r="N18" s="12" t="s">
        <v>449</v>
      </c>
    </row>
    <row r="19" spans="1:14" x14ac:dyDescent="0.25">
      <c r="A19" s="27" t="s">
        <v>450</v>
      </c>
      <c r="B19" s="27"/>
      <c r="C19" s="12" t="s">
        <v>451</v>
      </c>
      <c r="D19" s="28"/>
      <c r="E19" s="34"/>
      <c r="F19" s="29">
        <v>1</v>
      </c>
      <c r="G19" s="14">
        <v>2</v>
      </c>
      <c r="H19" s="30"/>
      <c r="I19" s="30"/>
      <c r="J19" s="30">
        <v>1</v>
      </c>
      <c r="K19" s="30"/>
      <c r="L19" s="30"/>
      <c r="M19" s="30"/>
      <c r="N19" s="27" t="s">
        <v>452</v>
      </c>
    </row>
    <row r="20" spans="1:14" x14ac:dyDescent="0.25">
      <c r="A20" s="12" t="s">
        <v>453</v>
      </c>
      <c r="B20" s="12"/>
      <c r="C20" s="12" t="s">
        <v>451</v>
      </c>
      <c r="D20" s="13"/>
      <c r="E20" s="34"/>
      <c r="F20" s="26">
        <v>2</v>
      </c>
      <c r="G20" s="30">
        <v>3</v>
      </c>
      <c r="H20" s="14"/>
      <c r="I20" s="14"/>
      <c r="J20" s="14">
        <v>1</v>
      </c>
      <c r="K20" s="14"/>
      <c r="L20" s="14"/>
      <c r="M20" s="14"/>
      <c r="N20" s="27" t="s">
        <v>454</v>
      </c>
    </row>
    <row r="21" spans="1:14" x14ac:dyDescent="0.25">
      <c r="A21" s="27" t="s">
        <v>455</v>
      </c>
      <c r="B21" s="27" t="s">
        <v>456</v>
      </c>
      <c r="C21" s="12" t="s">
        <v>451</v>
      </c>
      <c r="D21" s="28"/>
      <c r="E21" s="34"/>
      <c r="F21" s="29">
        <v>1</v>
      </c>
      <c r="G21" s="14">
        <v>2</v>
      </c>
      <c r="H21" s="30"/>
      <c r="I21" s="30"/>
      <c r="J21" s="32">
        <v>1</v>
      </c>
      <c r="K21" s="30"/>
      <c r="L21" s="30"/>
      <c r="M21" s="30"/>
      <c r="N21" s="27" t="s">
        <v>457</v>
      </c>
    </row>
    <row r="22" spans="1:14" x14ac:dyDescent="0.25">
      <c r="A22" s="27" t="s">
        <v>458</v>
      </c>
      <c r="B22" s="27"/>
      <c r="C22" s="12" t="s">
        <v>451</v>
      </c>
      <c r="D22" s="28"/>
      <c r="E22" s="34"/>
      <c r="F22" s="29">
        <v>1</v>
      </c>
      <c r="G22" s="14">
        <v>2</v>
      </c>
      <c r="H22" s="30"/>
      <c r="I22" s="30"/>
      <c r="J22" s="30">
        <v>0</v>
      </c>
      <c r="K22" s="30"/>
      <c r="L22" s="30"/>
      <c r="M22" s="30"/>
      <c r="N22" s="27" t="s">
        <v>459</v>
      </c>
    </row>
    <row r="23" spans="1:14" x14ac:dyDescent="0.25">
      <c r="A23" s="12" t="s">
        <v>460</v>
      </c>
      <c r="B23" s="12" t="s">
        <v>461</v>
      </c>
      <c r="C23" s="12" t="s">
        <v>451</v>
      </c>
      <c r="D23" s="13"/>
      <c r="E23" s="34"/>
      <c r="F23" s="26">
        <v>1</v>
      </c>
      <c r="G23" s="30">
        <v>3</v>
      </c>
      <c r="H23" s="14"/>
      <c r="I23" s="14"/>
      <c r="J23" s="33">
        <v>1</v>
      </c>
      <c r="K23" s="14"/>
      <c r="L23" s="14"/>
      <c r="M23" s="14"/>
      <c r="N23" s="27" t="s">
        <v>454</v>
      </c>
    </row>
    <row r="24" spans="1:14" x14ac:dyDescent="0.25">
      <c r="A24" s="27" t="s">
        <v>462</v>
      </c>
      <c r="B24" s="27" t="s">
        <v>463</v>
      </c>
      <c r="C24" s="12" t="s">
        <v>451</v>
      </c>
      <c r="D24" s="28"/>
      <c r="E24" s="34"/>
      <c r="F24" s="29">
        <v>1</v>
      </c>
      <c r="G24" s="30">
        <v>3</v>
      </c>
      <c r="H24" s="30"/>
      <c r="I24" s="30"/>
      <c r="J24" s="30">
        <v>1</v>
      </c>
      <c r="K24" s="30"/>
      <c r="L24" s="30"/>
      <c r="M24" s="30"/>
      <c r="N24" s="27" t="s">
        <v>464</v>
      </c>
    </row>
    <row r="25" spans="1:14" x14ac:dyDescent="0.25">
      <c r="A25" s="12" t="s">
        <v>465</v>
      </c>
      <c r="B25" s="12" t="s">
        <v>466</v>
      </c>
      <c r="C25" s="12" t="s">
        <v>467</v>
      </c>
      <c r="D25" s="13"/>
      <c r="E25" s="34"/>
      <c r="F25" s="26">
        <v>2</v>
      </c>
      <c r="G25" s="30">
        <v>3</v>
      </c>
      <c r="H25" s="14">
        <v>1</v>
      </c>
      <c r="I25" s="14"/>
      <c r="J25" s="14">
        <v>2</v>
      </c>
      <c r="K25" s="14"/>
      <c r="L25" s="14"/>
      <c r="M25" s="14"/>
      <c r="N25" s="12" t="s">
        <v>468</v>
      </c>
    </row>
    <row r="26" spans="1:14" x14ac:dyDescent="0.25">
      <c r="A26" s="27" t="s">
        <v>469</v>
      </c>
      <c r="B26" s="27"/>
      <c r="C26" s="12" t="s">
        <v>467</v>
      </c>
      <c r="D26" s="28"/>
      <c r="E26" s="34"/>
      <c r="F26" s="29">
        <v>1</v>
      </c>
      <c r="G26" s="30">
        <v>1</v>
      </c>
      <c r="H26" s="14">
        <v>1</v>
      </c>
      <c r="I26" s="30"/>
      <c r="J26" s="14">
        <v>2</v>
      </c>
      <c r="K26" s="30"/>
      <c r="L26" s="30"/>
      <c r="M26" s="30"/>
      <c r="N26" s="27" t="s">
        <v>470</v>
      </c>
    </row>
    <row r="27" spans="1:14" x14ac:dyDescent="0.25">
      <c r="A27" s="23" t="s">
        <v>471</v>
      </c>
      <c r="B27" s="23"/>
      <c r="C27" s="12" t="s">
        <v>467</v>
      </c>
      <c r="D27" s="24"/>
      <c r="E27" s="34"/>
      <c r="F27" s="26">
        <v>2</v>
      </c>
      <c r="G27" s="14">
        <v>2</v>
      </c>
      <c r="H27" s="14">
        <v>1</v>
      </c>
      <c r="I27" s="25"/>
      <c r="J27" s="14">
        <v>2</v>
      </c>
      <c r="K27" s="25"/>
      <c r="L27" s="25"/>
      <c r="M27" s="25"/>
      <c r="N27" s="12" t="s">
        <v>638</v>
      </c>
    </row>
    <row r="28" spans="1:14" x14ac:dyDescent="0.25">
      <c r="A28" s="27" t="s">
        <v>472</v>
      </c>
      <c r="B28" s="27" t="s">
        <v>473</v>
      </c>
      <c r="C28" s="12" t="s">
        <v>467</v>
      </c>
      <c r="D28" s="28"/>
      <c r="E28" s="34"/>
      <c r="F28" s="29">
        <v>2</v>
      </c>
      <c r="G28" s="30">
        <v>3</v>
      </c>
      <c r="H28" s="14">
        <v>1</v>
      </c>
      <c r="I28" s="30"/>
      <c r="J28" s="14">
        <v>2</v>
      </c>
      <c r="K28" s="30"/>
      <c r="L28" s="30"/>
      <c r="M28" s="30"/>
      <c r="N28" s="12" t="s">
        <v>474</v>
      </c>
    </row>
    <row r="29" spans="1:14" x14ac:dyDescent="0.25">
      <c r="A29" s="12" t="s">
        <v>475</v>
      </c>
      <c r="B29" s="12"/>
      <c r="C29" s="12" t="s">
        <v>467</v>
      </c>
      <c r="D29" s="13"/>
      <c r="E29" s="34"/>
      <c r="F29" s="26">
        <v>3</v>
      </c>
      <c r="G29" s="30">
        <v>4</v>
      </c>
      <c r="H29" s="14">
        <v>1</v>
      </c>
      <c r="I29" s="14"/>
      <c r="J29" s="14">
        <v>2</v>
      </c>
      <c r="K29" s="14"/>
      <c r="L29" s="14"/>
      <c r="M29" s="14"/>
      <c r="N29" s="12" t="s">
        <v>476</v>
      </c>
    </row>
    <row r="30" spans="1:14" x14ac:dyDescent="0.25">
      <c r="A30" s="27" t="s">
        <v>477</v>
      </c>
      <c r="B30" s="27" t="s">
        <v>478</v>
      </c>
      <c r="C30" s="12" t="s">
        <v>467</v>
      </c>
      <c r="D30" s="28"/>
      <c r="E30" s="34"/>
      <c r="F30" s="26">
        <v>2</v>
      </c>
      <c r="G30" s="14">
        <v>2</v>
      </c>
      <c r="H30" s="14">
        <v>1</v>
      </c>
      <c r="I30" s="30"/>
      <c r="J30" s="14">
        <v>2</v>
      </c>
      <c r="K30" s="30"/>
      <c r="L30" s="30"/>
      <c r="M30" s="30"/>
      <c r="N30" s="27" t="s">
        <v>479</v>
      </c>
    </row>
    <row r="31" spans="1:14" x14ac:dyDescent="0.25">
      <c r="A31" s="12" t="s">
        <v>480</v>
      </c>
      <c r="B31" s="12" t="s">
        <v>481</v>
      </c>
      <c r="C31" s="12" t="s">
        <v>467</v>
      </c>
      <c r="D31" s="13"/>
      <c r="E31" s="34"/>
      <c r="F31" s="26">
        <v>2</v>
      </c>
      <c r="G31" s="14">
        <v>2</v>
      </c>
      <c r="H31" s="14">
        <v>1</v>
      </c>
      <c r="I31" s="14"/>
      <c r="J31" s="14">
        <v>2</v>
      </c>
      <c r="K31" s="14"/>
      <c r="L31" s="14"/>
      <c r="M31" s="14"/>
      <c r="N31" s="12" t="s">
        <v>482</v>
      </c>
    </row>
    <row r="32" spans="1:14" x14ac:dyDescent="0.25">
      <c r="A32" s="12" t="s">
        <v>483</v>
      </c>
      <c r="B32" s="12" t="s">
        <v>481</v>
      </c>
      <c r="C32" s="12" t="s">
        <v>467</v>
      </c>
      <c r="D32" s="13"/>
      <c r="E32" s="34"/>
      <c r="F32" s="26">
        <v>2</v>
      </c>
      <c r="G32" s="14">
        <v>2</v>
      </c>
      <c r="H32" s="14">
        <v>1</v>
      </c>
      <c r="I32" s="14"/>
      <c r="J32" s="14">
        <v>2</v>
      </c>
      <c r="K32" s="14"/>
      <c r="L32" s="14"/>
      <c r="M32" s="14"/>
      <c r="N32" s="12" t="s">
        <v>484</v>
      </c>
    </row>
    <row r="33" spans="1:14" x14ac:dyDescent="0.25">
      <c r="A33" s="12" t="s">
        <v>485</v>
      </c>
      <c r="B33" s="12" t="s">
        <v>486</v>
      </c>
      <c r="C33" s="12" t="s">
        <v>467</v>
      </c>
      <c r="D33" s="13"/>
      <c r="E33" s="34"/>
      <c r="F33" s="26">
        <v>3</v>
      </c>
      <c r="G33" s="30">
        <v>4</v>
      </c>
      <c r="H33" s="14">
        <v>1</v>
      </c>
      <c r="I33" s="14"/>
      <c r="J33" s="14">
        <v>2</v>
      </c>
      <c r="K33" s="14"/>
      <c r="L33" s="14"/>
      <c r="M33" s="14"/>
      <c r="N33" s="12" t="s">
        <v>487</v>
      </c>
    </row>
    <row r="34" spans="1:14" x14ac:dyDescent="0.25">
      <c r="A34" s="12" t="s">
        <v>488</v>
      </c>
      <c r="B34" s="12"/>
      <c r="C34" s="12" t="s">
        <v>467</v>
      </c>
      <c r="D34" s="13"/>
      <c r="E34" s="34"/>
      <c r="F34" s="26">
        <v>2</v>
      </c>
      <c r="G34" s="14">
        <v>2</v>
      </c>
      <c r="H34" s="14">
        <v>1</v>
      </c>
      <c r="I34" s="14"/>
      <c r="J34" s="14">
        <v>2</v>
      </c>
      <c r="K34" s="14"/>
      <c r="L34" s="14"/>
      <c r="M34" s="14"/>
      <c r="N34" s="12" t="s">
        <v>489</v>
      </c>
    </row>
    <row r="35" spans="1:14" x14ac:dyDescent="0.25">
      <c r="A35" s="27" t="s">
        <v>490</v>
      </c>
      <c r="B35" s="27" t="s">
        <v>491</v>
      </c>
      <c r="C35" s="12" t="s">
        <v>467</v>
      </c>
      <c r="D35" s="28"/>
      <c r="E35" s="34"/>
      <c r="F35" s="26">
        <v>2</v>
      </c>
      <c r="G35" s="14">
        <v>2</v>
      </c>
      <c r="H35" s="14">
        <v>1</v>
      </c>
      <c r="I35" s="30"/>
      <c r="J35" s="14">
        <v>2</v>
      </c>
      <c r="K35" s="30"/>
      <c r="L35" s="30"/>
      <c r="M35" s="30"/>
      <c r="N35" s="12" t="s">
        <v>492</v>
      </c>
    </row>
    <row r="36" spans="1:14" x14ac:dyDescent="0.25">
      <c r="A36" s="23" t="s">
        <v>634</v>
      </c>
      <c r="B36" s="27" t="s">
        <v>635</v>
      </c>
      <c r="C36" s="12" t="s">
        <v>467</v>
      </c>
      <c r="D36" s="24"/>
      <c r="E36" s="49"/>
      <c r="F36" s="50">
        <v>2</v>
      </c>
      <c r="G36" s="25">
        <v>3</v>
      </c>
      <c r="H36" s="25">
        <v>1</v>
      </c>
      <c r="I36" s="25"/>
      <c r="J36" s="25">
        <v>2</v>
      </c>
      <c r="K36" s="25"/>
      <c r="L36" s="25"/>
      <c r="M36" s="25"/>
      <c r="N36" s="23" t="s">
        <v>636</v>
      </c>
    </row>
    <row r="37" spans="1:14" x14ac:dyDescent="0.25">
      <c r="A37" s="12" t="s">
        <v>493</v>
      </c>
      <c r="B37" s="12" t="s">
        <v>494</v>
      </c>
      <c r="C37" s="12" t="s">
        <v>467</v>
      </c>
      <c r="D37" s="13"/>
      <c r="E37" s="34"/>
      <c r="F37" s="26">
        <v>2</v>
      </c>
      <c r="G37" s="30">
        <v>3</v>
      </c>
      <c r="H37" s="14">
        <v>1</v>
      </c>
      <c r="I37" s="14"/>
      <c r="J37" s="14">
        <v>2</v>
      </c>
      <c r="K37" s="14"/>
      <c r="L37" s="14"/>
      <c r="M37" s="14"/>
      <c r="N37" s="12" t="s">
        <v>495</v>
      </c>
    </row>
    <row r="38" spans="1:14" x14ac:dyDescent="0.25">
      <c r="A38" s="27" t="s">
        <v>300</v>
      </c>
      <c r="B38" s="27" t="s">
        <v>496</v>
      </c>
      <c r="C38" s="27" t="s">
        <v>497</v>
      </c>
      <c r="D38" s="28"/>
      <c r="E38" s="34"/>
      <c r="F38" s="29">
        <v>1</v>
      </c>
      <c r="G38" s="30">
        <v>1</v>
      </c>
      <c r="H38" s="14">
        <v>1</v>
      </c>
      <c r="I38" s="30"/>
      <c r="J38" s="14">
        <v>2</v>
      </c>
      <c r="K38" s="30"/>
      <c r="L38" s="30"/>
      <c r="M38" s="30"/>
      <c r="N38" s="27" t="s">
        <v>498</v>
      </c>
    </row>
    <row r="39" spans="1:14" x14ac:dyDescent="0.25">
      <c r="A39" s="27" t="s">
        <v>499</v>
      </c>
      <c r="B39" s="27" t="s">
        <v>500</v>
      </c>
      <c r="C39" s="12" t="s">
        <v>497</v>
      </c>
      <c r="D39" s="28"/>
      <c r="E39" s="34"/>
      <c r="F39" s="29">
        <v>2</v>
      </c>
      <c r="G39" s="30">
        <v>1</v>
      </c>
      <c r="H39" s="14">
        <v>1</v>
      </c>
      <c r="I39" s="30"/>
      <c r="J39" s="14">
        <v>2</v>
      </c>
      <c r="K39" s="30"/>
      <c r="L39" s="30"/>
      <c r="M39" s="30"/>
      <c r="N39" s="27" t="s">
        <v>501</v>
      </c>
    </row>
    <row r="40" spans="1:14" x14ac:dyDescent="0.25">
      <c r="A40" s="12" t="s">
        <v>502</v>
      </c>
      <c r="B40" s="12"/>
      <c r="C40" s="12" t="s">
        <v>497</v>
      </c>
      <c r="D40" s="13"/>
      <c r="E40" s="34"/>
      <c r="F40" s="26">
        <v>2</v>
      </c>
      <c r="G40" s="14">
        <v>1</v>
      </c>
      <c r="H40" s="14">
        <v>1</v>
      </c>
      <c r="I40" s="14"/>
      <c r="J40" s="14">
        <v>2</v>
      </c>
      <c r="K40" s="14"/>
      <c r="L40" s="14"/>
      <c r="M40" s="14"/>
      <c r="N40" s="27" t="s">
        <v>503</v>
      </c>
    </row>
    <row r="41" spans="1:14" x14ac:dyDescent="0.25">
      <c r="A41" s="27" t="s">
        <v>299</v>
      </c>
      <c r="B41" s="27"/>
      <c r="C41" s="12" t="s">
        <v>497</v>
      </c>
      <c r="D41" s="28"/>
      <c r="E41" s="34"/>
      <c r="F41" s="29">
        <v>1</v>
      </c>
      <c r="G41" s="30">
        <v>1</v>
      </c>
      <c r="H41" s="14">
        <v>1</v>
      </c>
      <c r="I41" s="30"/>
      <c r="J41" s="14">
        <v>2</v>
      </c>
      <c r="K41" s="30"/>
      <c r="L41" s="30"/>
      <c r="M41" s="30"/>
      <c r="N41" s="27" t="s">
        <v>504</v>
      </c>
    </row>
    <row r="42" spans="1:14" x14ac:dyDescent="0.25">
      <c r="A42" s="27" t="s">
        <v>505</v>
      </c>
      <c r="B42" s="27" t="s">
        <v>420</v>
      </c>
      <c r="C42" s="12" t="s">
        <v>497</v>
      </c>
      <c r="D42" s="28"/>
      <c r="E42" s="34"/>
      <c r="F42" s="29">
        <v>2</v>
      </c>
      <c r="G42" s="30">
        <v>1</v>
      </c>
      <c r="H42" s="14">
        <v>1</v>
      </c>
      <c r="I42" s="30"/>
      <c r="J42" s="14">
        <v>2</v>
      </c>
      <c r="K42" s="30"/>
      <c r="L42" s="30"/>
      <c r="M42" s="30"/>
      <c r="N42" s="27" t="s">
        <v>506</v>
      </c>
    </row>
    <row r="43" spans="1:14" x14ac:dyDescent="0.25">
      <c r="A43" s="27" t="s">
        <v>637</v>
      </c>
      <c r="B43" s="27" t="s">
        <v>507</v>
      </c>
      <c r="C43" s="12" t="s">
        <v>508</v>
      </c>
      <c r="D43" s="28"/>
      <c r="E43" s="34"/>
      <c r="F43" s="29">
        <v>3</v>
      </c>
      <c r="G43" s="30">
        <v>3</v>
      </c>
      <c r="H43" s="30"/>
      <c r="I43" s="30"/>
      <c r="J43" s="30">
        <v>0</v>
      </c>
      <c r="K43" s="30"/>
      <c r="L43" s="30"/>
      <c r="M43" s="30"/>
      <c r="N43" s="27" t="s">
        <v>509</v>
      </c>
    </row>
    <row r="44" spans="1:14" x14ac:dyDescent="0.25">
      <c r="A44" s="27" t="s">
        <v>510</v>
      </c>
      <c r="B44" s="27"/>
      <c r="C44" s="12" t="s">
        <v>508</v>
      </c>
      <c r="D44" s="28"/>
      <c r="E44" s="34"/>
      <c r="F44" s="29">
        <v>3</v>
      </c>
      <c r="G44" s="30">
        <v>3</v>
      </c>
      <c r="H44" s="30"/>
      <c r="I44" s="30"/>
      <c r="J44" s="30">
        <v>1</v>
      </c>
      <c r="K44" s="30"/>
      <c r="L44" s="30"/>
      <c r="M44" s="30"/>
      <c r="N44" s="27" t="s">
        <v>511</v>
      </c>
    </row>
    <row r="45" spans="1:14" x14ac:dyDescent="0.25">
      <c r="A45" s="12" t="s">
        <v>0</v>
      </c>
      <c r="B45" s="12"/>
      <c r="C45" s="12" t="s">
        <v>508</v>
      </c>
      <c r="D45" s="13"/>
      <c r="E45" s="34"/>
      <c r="F45" s="26">
        <v>3</v>
      </c>
      <c r="G45" s="30">
        <v>4</v>
      </c>
      <c r="H45" s="14"/>
      <c r="I45" s="14"/>
      <c r="J45" s="14">
        <v>1</v>
      </c>
      <c r="K45" s="14"/>
      <c r="L45" s="14"/>
      <c r="M45" s="14"/>
      <c r="N45" s="12" t="s">
        <v>512</v>
      </c>
    </row>
    <row r="46" spans="1:14" x14ac:dyDescent="0.25">
      <c r="A46" s="12" t="s">
        <v>513</v>
      </c>
      <c r="B46" s="12"/>
      <c r="C46" s="12" t="s">
        <v>514</v>
      </c>
      <c r="D46" s="13"/>
      <c r="E46" s="34"/>
      <c r="F46" s="26">
        <v>1</v>
      </c>
      <c r="G46" s="14">
        <v>2</v>
      </c>
      <c r="H46" s="14"/>
      <c r="I46" s="14"/>
      <c r="J46" s="14">
        <v>0</v>
      </c>
      <c r="K46" s="14"/>
      <c r="L46" s="14"/>
      <c r="M46" s="14"/>
      <c r="N46" s="12" t="s">
        <v>515</v>
      </c>
    </row>
    <row r="47" spans="1:14" x14ac:dyDescent="0.25">
      <c r="A47" s="12" t="s">
        <v>516</v>
      </c>
      <c r="B47" s="12"/>
      <c r="C47" s="12" t="s">
        <v>514</v>
      </c>
      <c r="D47" s="13"/>
      <c r="E47" s="34"/>
      <c r="F47" s="26">
        <v>1</v>
      </c>
      <c r="G47" s="14">
        <v>2</v>
      </c>
      <c r="H47" s="14"/>
      <c r="I47" s="14"/>
      <c r="J47" s="14">
        <v>0</v>
      </c>
      <c r="K47" s="14"/>
      <c r="L47" s="14"/>
      <c r="M47" s="14"/>
      <c r="N47" s="12" t="s">
        <v>517</v>
      </c>
    </row>
    <row r="48" spans="1:14" x14ac:dyDescent="0.25">
      <c r="A48" s="12" t="s">
        <v>518</v>
      </c>
      <c r="B48" s="12"/>
      <c r="C48" s="12" t="s">
        <v>514</v>
      </c>
      <c r="D48" s="13"/>
      <c r="E48" s="34"/>
      <c r="F48" s="26">
        <v>3</v>
      </c>
      <c r="G48" s="36">
        <v>0</v>
      </c>
      <c r="H48" s="14"/>
      <c r="I48" s="14"/>
      <c r="J48" s="14">
        <v>1</v>
      </c>
      <c r="K48" s="14">
        <v>1</v>
      </c>
      <c r="L48" s="14"/>
      <c r="M48" s="14"/>
      <c r="N48" s="12" t="s">
        <v>519</v>
      </c>
    </row>
    <row r="49" spans="1:14" x14ac:dyDescent="0.25">
      <c r="A49" s="12" t="s">
        <v>520</v>
      </c>
      <c r="B49" s="12"/>
      <c r="C49" s="12" t="s">
        <v>640</v>
      </c>
      <c r="D49" s="13"/>
      <c r="E49" s="34"/>
      <c r="F49" s="26">
        <v>3</v>
      </c>
      <c r="G49" s="30">
        <v>3</v>
      </c>
      <c r="H49" s="14">
        <v>1</v>
      </c>
      <c r="I49" s="14"/>
      <c r="J49" s="14">
        <v>2</v>
      </c>
      <c r="K49" s="14"/>
      <c r="L49" s="14"/>
      <c r="M49" s="14"/>
      <c r="N49" s="12" t="s">
        <v>521</v>
      </c>
    </row>
    <row r="50" spans="1:14" x14ac:dyDescent="0.25">
      <c r="A50" s="12" t="s">
        <v>631</v>
      </c>
      <c r="B50" s="12"/>
      <c r="C50" s="12" t="s">
        <v>514</v>
      </c>
      <c r="D50" s="13"/>
      <c r="E50" s="34"/>
      <c r="F50" s="26">
        <v>2</v>
      </c>
      <c r="G50" s="36">
        <v>0</v>
      </c>
      <c r="H50" s="14"/>
      <c r="I50" s="14"/>
      <c r="J50" s="14">
        <v>0</v>
      </c>
      <c r="K50" s="14"/>
      <c r="L50" s="14"/>
      <c r="M50" s="14"/>
      <c r="N50" s="12" t="s">
        <v>632</v>
      </c>
    </row>
    <row r="51" spans="1:14" x14ac:dyDescent="0.25">
      <c r="A51" s="12" t="s">
        <v>522</v>
      </c>
      <c r="B51" s="12" t="s">
        <v>523</v>
      </c>
      <c r="C51" s="12" t="s">
        <v>574</v>
      </c>
      <c r="D51" s="13"/>
      <c r="E51" s="34"/>
      <c r="F51" s="26">
        <v>1</v>
      </c>
      <c r="G51" s="30">
        <v>1</v>
      </c>
      <c r="H51" s="14"/>
      <c r="I51" s="14"/>
      <c r="J51" s="14">
        <v>0</v>
      </c>
      <c r="K51" s="14"/>
      <c r="L51" s="14"/>
      <c r="M51" s="14"/>
      <c r="N51" s="12" t="s">
        <v>446</v>
      </c>
    </row>
    <row r="52" spans="1:14" x14ac:dyDescent="0.25">
      <c r="A52" s="27" t="s">
        <v>524</v>
      </c>
      <c r="B52" s="27"/>
      <c r="C52" s="12" t="s">
        <v>514</v>
      </c>
      <c r="D52" s="28"/>
      <c r="E52" s="34"/>
      <c r="F52" s="29">
        <v>1</v>
      </c>
      <c r="G52" s="14">
        <v>2</v>
      </c>
      <c r="H52" s="30"/>
      <c r="I52" s="30"/>
      <c r="J52" s="30">
        <v>0</v>
      </c>
      <c r="K52" s="30"/>
      <c r="L52" s="30"/>
      <c r="M52" s="30"/>
      <c r="N52" s="27" t="s">
        <v>525</v>
      </c>
    </row>
    <row r="53" spans="1:14" x14ac:dyDescent="0.25">
      <c r="A53" s="12" t="s">
        <v>526</v>
      </c>
      <c r="B53" s="12"/>
      <c r="C53" s="12" t="s">
        <v>514</v>
      </c>
      <c r="D53" s="13"/>
      <c r="E53" s="34"/>
      <c r="F53" s="26">
        <v>1</v>
      </c>
      <c r="G53" s="14">
        <v>2</v>
      </c>
      <c r="H53" s="14"/>
      <c r="I53" s="14"/>
      <c r="J53" s="14">
        <v>0</v>
      </c>
      <c r="K53" s="14">
        <v>1</v>
      </c>
      <c r="L53" s="14"/>
      <c r="M53" s="14"/>
      <c r="N53" s="12" t="s">
        <v>527</v>
      </c>
    </row>
    <row r="54" spans="1:14" x14ac:dyDescent="0.25">
      <c r="A54" s="12" t="s">
        <v>528</v>
      </c>
      <c r="B54" s="12"/>
      <c r="C54" s="12" t="s">
        <v>514</v>
      </c>
      <c r="D54" s="13"/>
      <c r="E54" s="34"/>
      <c r="F54" s="26">
        <v>2</v>
      </c>
      <c r="G54" s="14">
        <v>2</v>
      </c>
      <c r="H54" s="14"/>
      <c r="I54" s="14"/>
      <c r="J54" s="14">
        <v>0</v>
      </c>
      <c r="K54" s="14"/>
      <c r="L54" s="14"/>
      <c r="M54" s="14"/>
      <c r="N54" s="12" t="s">
        <v>529</v>
      </c>
    </row>
    <row r="55" spans="1:14" x14ac:dyDescent="0.25">
      <c r="A55" s="27" t="s">
        <v>530</v>
      </c>
      <c r="B55" s="27" t="s">
        <v>531</v>
      </c>
      <c r="C55" s="12" t="s">
        <v>640</v>
      </c>
      <c r="D55" s="28"/>
      <c r="E55" s="34"/>
      <c r="F55" s="29">
        <v>2</v>
      </c>
      <c r="G55" s="14">
        <v>2</v>
      </c>
      <c r="H55" s="30"/>
      <c r="I55" s="30"/>
      <c r="J55" s="30">
        <v>0</v>
      </c>
      <c r="K55" s="30"/>
      <c r="L55" s="30"/>
      <c r="M55" s="30"/>
      <c r="N55" s="27" t="s">
        <v>531</v>
      </c>
    </row>
    <row r="56" spans="1:14" x14ac:dyDescent="0.25">
      <c r="A56" s="27" t="s">
        <v>532</v>
      </c>
      <c r="B56" s="27" t="s">
        <v>533</v>
      </c>
      <c r="C56" s="12" t="s">
        <v>514</v>
      </c>
      <c r="D56" s="28"/>
      <c r="E56" s="34"/>
      <c r="F56" s="29">
        <v>1</v>
      </c>
      <c r="G56" s="30">
        <v>3</v>
      </c>
      <c r="H56" s="30"/>
      <c r="I56" s="30"/>
      <c r="J56" s="30">
        <v>0</v>
      </c>
      <c r="K56" s="30"/>
      <c r="L56" s="30"/>
      <c r="M56" s="30"/>
      <c r="N56" s="27" t="s">
        <v>534</v>
      </c>
    </row>
    <row r="57" spans="1:14" x14ac:dyDescent="0.25">
      <c r="A57" s="12" t="s">
        <v>535</v>
      </c>
      <c r="B57" s="12" t="s">
        <v>536</v>
      </c>
      <c r="C57" s="12" t="s">
        <v>537</v>
      </c>
      <c r="D57" s="13"/>
      <c r="E57" s="34"/>
      <c r="F57" s="26">
        <v>2</v>
      </c>
      <c r="G57" s="14">
        <v>3</v>
      </c>
      <c r="H57" s="14">
        <v>1</v>
      </c>
      <c r="I57" s="14">
        <v>1</v>
      </c>
      <c r="J57" s="14">
        <v>2</v>
      </c>
      <c r="K57" s="14"/>
      <c r="L57" s="14"/>
      <c r="M57" s="14"/>
      <c r="N57" s="12" t="s">
        <v>633</v>
      </c>
    </row>
    <row r="58" spans="1:14" x14ac:dyDescent="0.25">
      <c r="A58" s="12" t="s">
        <v>538</v>
      </c>
      <c r="B58" s="12"/>
      <c r="C58" s="12" t="s">
        <v>537</v>
      </c>
      <c r="D58" s="13"/>
      <c r="E58" s="34"/>
      <c r="F58" s="26">
        <v>2</v>
      </c>
      <c r="G58" s="14">
        <v>2</v>
      </c>
      <c r="H58" s="14">
        <v>1</v>
      </c>
      <c r="I58" s="14">
        <v>1</v>
      </c>
      <c r="J58" s="14">
        <v>2</v>
      </c>
      <c r="K58" s="14"/>
      <c r="L58" s="14"/>
      <c r="M58" s="14"/>
      <c r="N58" s="12" t="s">
        <v>539</v>
      </c>
    </row>
    <row r="59" spans="1:14" x14ac:dyDescent="0.25">
      <c r="A59" s="12" t="s">
        <v>540</v>
      </c>
      <c r="B59" s="12"/>
      <c r="C59" s="12" t="s">
        <v>537</v>
      </c>
      <c r="D59" s="13"/>
      <c r="E59" s="34"/>
      <c r="F59" s="26">
        <v>2</v>
      </c>
      <c r="G59" s="14">
        <v>2</v>
      </c>
      <c r="H59" s="14">
        <v>1</v>
      </c>
      <c r="I59" s="14">
        <v>1</v>
      </c>
      <c r="J59" s="14">
        <v>2</v>
      </c>
      <c r="K59" s="14"/>
      <c r="L59" s="14"/>
      <c r="M59" s="14"/>
      <c r="N59" s="12" t="s">
        <v>541</v>
      </c>
    </row>
    <row r="60" spans="1:14" x14ac:dyDescent="0.25">
      <c r="A60" s="12" t="s">
        <v>542</v>
      </c>
      <c r="B60" s="12"/>
      <c r="C60" s="12" t="s">
        <v>537</v>
      </c>
      <c r="D60" s="13"/>
      <c r="E60" s="34"/>
      <c r="F60" s="26">
        <v>1</v>
      </c>
      <c r="G60" s="30">
        <v>3</v>
      </c>
      <c r="H60" s="14">
        <v>1</v>
      </c>
      <c r="I60" s="14">
        <v>1</v>
      </c>
      <c r="J60" s="14">
        <v>2</v>
      </c>
      <c r="K60" s="14"/>
      <c r="L60" s="14"/>
      <c r="M60" s="14"/>
      <c r="N60" s="12" t="s">
        <v>543</v>
      </c>
    </row>
    <row r="61" spans="1:14" x14ac:dyDescent="0.25">
      <c r="A61" s="12" t="s">
        <v>544</v>
      </c>
      <c r="B61" s="12" t="s">
        <v>545</v>
      </c>
      <c r="C61" s="12" t="s">
        <v>537</v>
      </c>
      <c r="D61" s="13"/>
      <c r="E61" s="34"/>
      <c r="F61" s="26">
        <v>1</v>
      </c>
      <c r="G61" s="14">
        <v>2</v>
      </c>
      <c r="H61" s="14">
        <v>1</v>
      </c>
      <c r="I61" s="14">
        <v>1</v>
      </c>
      <c r="J61" s="14">
        <v>2</v>
      </c>
      <c r="K61" s="14"/>
      <c r="L61" s="14"/>
      <c r="M61" s="14"/>
      <c r="N61" s="12" t="s">
        <v>546</v>
      </c>
    </row>
    <row r="62" spans="1:14" x14ac:dyDescent="0.25">
      <c r="A62" s="12" t="s">
        <v>547</v>
      </c>
      <c r="B62" s="12"/>
      <c r="C62" s="12" t="s">
        <v>548</v>
      </c>
      <c r="D62" s="13"/>
      <c r="E62" s="34"/>
      <c r="F62" s="26">
        <v>3</v>
      </c>
      <c r="G62" s="30">
        <v>4</v>
      </c>
      <c r="H62" s="14"/>
      <c r="I62" s="14"/>
      <c r="J62" s="14">
        <v>0</v>
      </c>
      <c r="K62" s="14"/>
      <c r="L62" s="14"/>
      <c r="M62" s="14"/>
      <c r="N62" s="12" t="s">
        <v>549</v>
      </c>
    </row>
    <row r="63" spans="1:14" x14ac:dyDescent="0.25">
      <c r="A63" s="12" t="s">
        <v>550</v>
      </c>
      <c r="B63" s="12"/>
      <c r="C63" s="12" t="s">
        <v>548</v>
      </c>
      <c r="D63" s="13"/>
      <c r="E63" s="34"/>
      <c r="F63" s="26">
        <v>2</v>
      </c>
      <c r="G63" s="30">
        <v>4</v>
      </c>
      <c r="H63" s="14"/>
      <c r="I63" s="14"/>
      <c r="J63" s="14">
        <v>0</v>
      </c>
      <c r="K63" s="14"/>
      <c r="L63" s="14"/>
      <c r="M63" s="14"/>
      <c r="N63" s="12" t="s">
        <v>551</v>
      </c>
    </row>
    <row r="64" spans="1:14" x14ac:dyDescent="0.25">
      <c r="A64" s="12" t="s">
        <v>3</v>
      </c>
      <c r="B64" s="12"/>
      <c r="C64" s="12" t="s">
        <v>548</v>
      </c>
      <c r="D64" s="13"/>
      <c r="E64" s="34"/>
      <c r="F64" s="26">
        <v>2</v>
      </c>
      <c r="G64" s="30">
        <v>4</v>
      </c>
      <c r="H64" s="14"/>
      <c r="I64" s="14"/>
      <c r="J64" s="14">
        <v>0</v>
      </c>
      <c r="K64" s="14"/>
      <c r="L64" s="14"/>
      <c r="M64" s="14"/>
      <c r="N64" s="12"/>
    </row>
    <row r="65" spans="1:14" x14ac:dyDescent="0.25">
      <c r="A65" s="27" t="s">
        <v>552</v>
      </c>
      <c r="B65" s="27"/>
      <c r="C65" s="12" t="s">
        <v>548</v>
      </c>
      <c r="D65" s="28"/>
      <c r="E65" s="34"/>
      <c r="F65" s="29">
        <v>3</v>
      </c>
      <c r="G65" s="30">
        <v>3</v>
      </c>
      <c r="H65" s="30"/>
      <c r="I65" s="30"/>
      <c r="J65" s="30">
        <v>0</v>
      </c>
      <c r="K65" s="30"/>
      <c r="L65" s="30"/>
      <c r="M65" s="30"/>
      <c r="N65" s="27" t="s">
        <v>553</v>
      </c>
    </row>
    <row r="66" spans="1:14" x14ac:dyDescent="0.25">
      <c r="A66" s="12" t="s">
        <v>554</v>
      </c>
      <c r="B66" s="12" t="s">
        <v>555</v>
      </c>
      <c r="C66" s="12" t="s">
        <v>548</v>
      </c>
      <c r="D66" s="13"/>
      <c r="E66" s="34"/>
      <c r="F66" s="26">
        <v>2</v>
      </c>
      <c r="G66" s="30">
        <v>3</v>
      </c>
      <c r="H66" s="14"/>
      <c r="I66" s="14"/>
      <c r="J66" s="14">
        <v>0</v>
      </c>
      <c r="K66" s="14"/>
      <c r="L66" s="14"/>
      <c r="M66" s="14"/>
      <c r="N66" s="12" t="s">
        <v>556</v>
      </c>
    </row>
    <row r="67" spans="1:14" x14ac:dyDescent="0.25">
      <c r="A67" s="12" t="s">
        <v>557</v>
      </c>
      <c r="B67" s="12" t="s">
        <v>558</v>
      </c>
      <c r="C67" s="12" t="s">
        <v>548</v>
      </c>
      <c r="D67" s="13"/>
      <c r="E67" s="34"/>
      <c r="F67" s="26">
        <v>3</v>
      </c>
      <c r="G67" s="30">
        <v>4</v>
      </c>
      <c r="H67" s="14"/>
      <c r="I67" s="14"/>
      <c r="J67" s="14">
        <v>0</v>
      </c>
      <c r="K67" s="14"/>
      <c r="L67" s="14"/>
      <c r="M67" s="14"/>
      <c r="N67" s="12" t="s">
        <v>559</v>
      </c>
    </row>
    <row r="68" spans="1:14" x14ac:dyDescent="0.25">
      <c r="A68" s="12" t="s">
        <v>560</v>
      </c>
      <c r="B68" s="12"/>
      <c r="C68" s="12" t="s">
        <v>548</v>
      </c>
      <c r="D68" s="13"/>
      <c r="E68" s="34"/>
      <c r="F68" s="26">
        <v>1</v>
      </c>
      <c r="G68" s="30">
        <v>3</v>
      </c>
      <c r="H68" s="14"/>
      <c r="I68" s="14"/>
      <c r="J68" s="14">
        <v>0</v>
      </c>
      <c r="K68" s="14"/>
      <c r="L68" s="14"/>
      <c r="M68" s="14"/>
      <c r="N68" s="12" t="s">
        <v>561</v>
      </c>
    </row>
    <row r="69" spans="1:14" x14ac:dyDescent="0.25">
      <c r="A69" s="12" t="s">
        <v>562</v>
      </c>
      <c r="B69" s="12"/>
      <c r="C69" s="12" t="s">
        <v>548</v>
      </c>
      <c r="D69" s="13"/>
      <c r="E69" s="34"/>
      <c r="F69" s="26">
        <v>1</v>
      </c>
      <c r="G69" s="30">
        <v>3</v>
      </c>
      <c r="H69" s="14"/>
      <c r="I69" s="14"/>
      <c r="J69" s="14">
        <v>0</v>
      </c>
      <c r="K69" s="14"/>
      <c r="L69" s="14"/>
      <c r="M69" s="14"/>
      <c r="N69" s="12" t="s">
        <v>563</v>
      </c>
    </row>
    <row r="70" spans="1:14" x14ac:dyDescent="0.25">
      <c r="A70" s="12" t="s">
        <v>564</v>
      </c>
      <c r="B70" s="12"/>
      <c r="C70" s="12" t="s">
        <v>548</v>
      </c>
      <c r="D70" s="13"/>
      <c r="E70" s="34"/>
      <c r="F70" s="26">
        <v>3</v>
      </c>
      <c r="G70" s="30">
        <v>3</v>
      </c>
      <c r="H70" s="14"/>
      <c r="I70" s="14"/>
      <c r="J70" s="14">
        <v>0</v>
      </c>
      <c r="K70" s="14"/>
      <c r="L70" s="14"/>
      <c r="M70" s="14"/>
      <c r="N70" s="12" t="s">
        <v>565</v>
      </c>
    </row>
    <row r="71" spans="1:14" x14ac:dyDescent="0.25">
      <c r="A71" s="27" t="s">
        <v>566</v>
      </c>
      <c r="B71" s="27"/>
      <c r="C71" s="12" t="s">
        <v>548</v>
      </c>
      <c r="D71" s="28"/>
      <c r="E71" s="34"/>
      <c r="F71" s="29">
        <v>3</v>
      </c>
      <c r="G71" s="30">
        <v>3</v>
      </c>
      <c r="H71" s="30"/>
      <c r="I71" s="30"/>
      <c r="J71" s="30">
        <v>0</v>
      </c>
      <c r="K71" s="30"/>
      <c r="L71" s="30"/>
      <c r="M71" s="30"/>
      <c r="N71" s="27" t="s">
        <v>551</v>
      </c>
    </row>
    <row r="72" spans="1:14" x14ac:dyDescent="0.25">
      <c r="A72" s="27" t="s">
        <v>567</v>
      </c>
      <c r="B72" s="27" t="s">
        <v>568</v>
      </c>
      <c r="C72" s="12" t="s">
        <v>548</v>
      </c>
      <c r="D72" s="28"/>
      <c r="E72" s="34"/>
      <c r="F72" s="29">
        <v>3</v>
      </c>
      <c r="G72" s="30">
        <v>3</v>
      </c>
      <c r="H72" s="30"/>
      <c r="I72" s="30"/>
      <c r="J72" s="30">
        <v>0</v>
      </c>
      <c r="K72" s="30"/>
      <c r="L72" s="30"/>
      <c r="M72" s="30"/>
      <c r="N72" s="27" t="s">
        <v>569</v>
      </c>
    </row>
    <row r="73" spans="1:14" x14ac:dyDescent="0.25">
      <c r="A73" s="27" t="s">
        <v>570</v>
      </c>
      <c r="B73" s="27"/>
      <c r="C73" s="12" t="s">
        <v>548</v>
      </c>
      <c r="D73" s="28"/>
      <c r="E73" s="34"/>
      <c r="F73" s="29">
        <v>2</v>
      </c>
      <c r="G73" s="30">
        <v>1</v>
      </c>
      <c r="H73" s="30"/>
      <c r="I73" s="30"/>
      <c r="J73" s="30">
        <v>0</v>
      </c>
      <c r="K73" s="30"/>
      <c r="L73" s="30"/>
      <c r="M73" s="30"/>
      <c r="N73" s="27" t="s">
        <v>556</v>
      </c>
    </row>
    <row r="74" spans="1:14" x14ac:dyDescent="0.25">
      <c r="A74" s="27" t="s">
        <v>571</v>
      </c>
      <c r="B74" s="27"/>
      <c r="C74" s="12" t="s">
        <v>548</v>
      </c>
      <c r="D74" s="28"/>
      <c r="E74" s="34"/>
      <c r="F74" s="29">
        <v>1</v>
      </c>
      <c r="G74" s="30">
        <v>3</v>
      </c>
      <c r="H74" s="30"/>
      <c r="I74" s="30"/>
      <c r="J74" s="30">
        <v>0</v>
      </c>
      <c r="K74" s="30"/>
      <c r="L74" s="30"/>
      <c r="M74" s="30"/>
      <c r="N74" s="27" t="s">
        <v>572</v>
      </c>
    </row>
    <row r="75" spans="1:14" x14ac:dyDescent="0.25">
      <c r="A75" s="27" t="s">
        <v>573</v>
      </c>
      <c r="B75" s="27"/>
      <c r="C75" s="27" t="s">
        <v>574</v>
      </c>
      <c r="D75" s="28"/>
      <c r="E75" s="34"/>
      <c r="F75" s="29">
        <v>1</v>
      </c>
      <c r="G75" s="14">
        <v>2</v>
      </c>
      <c r="H75" s="30"/>
      <c r="I75" s="30"/>
      <c r="J75" s="30">
        <v>0</v>
      </c>
      <c r="K75" s="30"/>
      <c r="L75" s="30"/>
      <c r="M75" s="30"/>
      <c r="N75" s="27"/>
    </row>
    <row r="76" spans="1:14" x14ac:dyDescent="0.25">
      <c r="A76" s="27" t="s">
        <v>575</v>
      </c>
      <c r="B76" s="27"/>
      <c r="C76" s="27" t="s">
        <v>574</v>
      </c>
      <c r="D76" s="28"/>
      <c r="E76" s="34"/>
      <c r="F76" s="29">
        <v>1</v>
      </c>
      <c r="G76" s="14">
        <v>2</v>
      </c>
      <c r="H76" s="30">
        <v>1</v>
      </c>
      <c r="I76" s="30"/>
      <c r="J76" s="30">
        <v>2</v>
      </c>
      <c r="K76" s="30"/>
      <c r="L76" s="30"/>
      <c r="M76" s="30"/>
      <c r="N76" s="27" t="s">
        <v>576</v>
      </c>
    </row>
    <row r="77" spans="1:14" x14ac:dyDescent="0.25">
      <c r="A77" s="27" t="s">
        <v>577</v>
      </c>
      <c r="B77" s="27" t="s">
        <v>578</v>
      </c>
      <c r="C77" s="12" t="s">
        <v>574</v>
      </c>
      <c r="D77" s="28"/>
      <c r="E77" s="34"/>
      <c r="F77" s="29">
        <v>1</v>
      </c>
      <c r="G77" s="14">
        <v>2</v>
      </c>
      <c r="H77" s="30"/>
      <c r="I77" s="30"/>
      <c r="J77" s="32">
        <v>0</v>
      </c>
      <c r="K77" s="30"/>
      <c r="L77" s="30"/>
      <c r="M77" s="30"/>
      <c r="N77" s="27" t="s">
        <v>579</v>
      </c>
    </row>
    <row r="78" spans="1:14" x14ac:dyDescent="0.25">
      <c r="A78" s="27" t="s">
        <v>580</v>
      </c>
      <c r="B78" s="27" t="s">
        <v>581</v>
      </c>
      <c r="C78" s="12" t="s">
        <v>574</v>
      </c>
      <c r="D78" s="28"/>
      <c r="E78" s="34"/>
      <c r="F78" s="29">
        <v>1</v>
      </c>
      <c r="G78" s="14">
        <v>2</v>
      </c>
      <c r="H78" s="30"/>
      <c r="I78" s="30"/>
      <c r="J78" s="30">
        <v>0</v>
      </c>
      <c r="K78" s="30"/>
      <c r="L78" s="30"/>
      <c r="M78" s="30"/>
      <c r="N78" s="27"/>
    </row>
    <row r="79" spans="1:14" x14ac:dyDescent="0.25">
      <c r="A79" s="27" t="s">
        <v>582</v>
      </c>
      <c r="B79" s="27"/>
      <c r="C79" s="27" t="s">
        <v>574</v>
      </c>
      <c r="D79" s="28"/>
      <c r="E79" s="34"/>
      <c r="F79" s="29">
        <v>1</v>
      </c>
      <c r="G79" s="14">
        <v>2</v>
      </c>
      <c r="H79" s="30"/>
      <c r="I79" s="30"/>
      <c r="J79" s="30">
        <v>0</v>
      </c>
      <c r="K79" s="30"/>
      <c r="L79" s="30"/>
      <c r="M79" s="30"/>
      <c r="N79" s="27"/>
    </row>
    <row r="80" spans="1:14" x14ac:dyDescent="0.25">
      <c r="A80" s="27" t="s">
        <v>583</v>
      </c>
      <c r="B80" s="27" t="s">
        <v>584</v>
      </c>
      <c r="C80" s="12" t="s">
        <v>585</v>
      </c>
      <c r="D80" s="28"/>
      <c r="E80" s="34"/>
      <c r="F80" s="29">
        <v>2</v>
      </c>
      <c r="G80" s="14">
        <v>2</v>
      </c>
      <c r="H80" s="30"/>
      <c r="I80" s="30"/>
      <c r="J80" s="30">
        <v>1</v>
      </c>
      <c r="K80" s="30"/>
      <c r="L80" s="30"/>
      <c r="M80" s="30"/>
      <c r="N80" s="27" t="s">
        <v>586</v>
      </c>
    </row>
    <row r="81" spans="1:14" x14ac:dyDescent="0.25">
      <c r="A81" s="12" t="s">
        <v>587</v>
      </c>
      <c r="B81" s="27"/>
      <c r="C81" s="12" t="s">
        <v>585</v>
      </c>
      <c r="D81" s="13"/>
      <c r="E81" s="34"/>
      <c r="F81" s="26">
        <v>2</v>
      </c>
      <c r="G81" s="14">
        <v>2</v>
      </c>
      <c r="H81" s="14"/>
      <c r="I81" s="14"/>
      <c r="J81" s="14">
        <v>0</v>
      </c>
      <c r="K81" s="14"/>
      <c r="L81" s="14"/>
      <c r="M81" s="14"/>
      <c r="N81" s="27" t="s">
        <v>588</v>
      </c>
    </row>
    <row r="82" spans="1:14" x14ac:dyDescent="0.25">
      <c r="A82" s="12" t="s">
        <v>589</v>
      </c>
      <c r="B82" s="12"/>
      <c r="C82" s="12" t="s">
        <v>585</v>
      </c>
      <c r="D82" s="13"/>
      <c r="E82" s="34"/>
      <c r="F82" s="26">
        <v>3</v>
      </c>
      <c r="G82" s="30">
        <v>3</v>
      </c>
      <c r="H82" s="14"/>
      <c r="I82" s="14"/>
      <c r="J82" s="14">
        <v>0</v>
      </c>
      <c r="K82" s="14"/>
      <c r="L82" s="14"/>
      <c r="M82" s="14"/>
      <c r="N82" s="12" t="s">
        <v>590</v>
      </c>
    </row>
    <row r="83" spans="1:14" x14ac:dyDescent="0.25">
      <c r="A83" s="12" t="s">
        <v>591</v>
      </c>
      <c r="B83" s="12" t="s">
        <v>592</v>
      </c>
      <c r="C83" s="12" t="s">
        <v>585</v>
      </c>
      <c r="D83" s="13"/>
      <c r="E83" s="34"/>
      <c r="F83" s="26">
        <v>2</v>
      </c>
      <c r="G83" s="14">
        <v>2</v>
      </c>
      <c r="H83" s="14"/>
      <c r="I83" s="14"/>
      <c r="J83" s="14">
        <v>0</v>
      </c>
      <c r="K83" s="14"/>
      <c r="L83" s="14"/>
      <c r="M83" s="14"/>
      <c r="N83" s="12" t="s">
        <v>593</v>
      </c>
    </row>
    <row r="84" spans="1:14" x14ac:dyDescent="0.25">
      <c r="A84" s="27" t="s">
        <v>594</v>
      </c>
      <c r="B84" s="27" t="s">
        <v>595</v>
      </c>
      <c r="C84" s="12" t="s">
        <v>585</v>
      </c>
      <c r="D84" s="28"/>
      <c r="E84" s="34"/>
      <c r="F84" s="29">
        <v>2</v>
      </c>
      <c r="G84" s="14">
        <v>2</v>
      </c>
      <c r="H84" s="30"/>
      <c r="I84" s="30"/>
      <c r="J84" s="30">
        <v>0</v>
      </c>
      <c r="K84" s="30"/>
      <c r="L84" s="30"/>
      <c r="M84" s="30"/>
      <c r="N84" s="27" t="s">
        <v>596</v>
      </c>
    </row>
    <row r="85" spans="1:14" x14ac:dyDescent="0.25">
      <c r="A85" s="12" t="s">
        <v>597</v>
      </c>
      <c r="B85" s="12"/>
      <c r="C85" s="12" t="s">
        <v>585</v>
      </c>
      <c r="D85" s="13"/>
      <c r="E85" s="34"/>
      <c r="F85" s="26">
        <v>2</v>
      </c>
      <c r="G85" s="14">
        <v>2</v>
      </c>
      <c r="H85" s="14"/>
      <c r="I85" s="14"/>
      <c r="J85" s="14">
        <v>0</v>
      </c>
      <c r="K85" s="14"/>
      <c r="L85" s="14"/>
      <c r="M85" s="14"/>
      <c r="N85" s="12" t="s">
        <v>598</v>
      </c>
    </row>
    <row r="86" spans="1:14" x14ac:dyDescent="0.25">
      <c r="A86" s="23" t="s">
        <v>599</v>
      </c>
      <c r="B86" s="23"/>
      <c r="C86" s="12" t="s">
        <v>585</v>
      </c>
      <c r="D86" s="24"/>
      <c r="E86" s="34"/>
      <c r="F86" s="26">
        <v>1</v>
      </c>
      <c r="G86" s="36">
        <v>0</v>
      </c>
      <c r="H86" s="25"/>
      <c r="I86" s="25"/>
      <c r="J86" s="25">
        <v>0</v>
      </c>
      <c r="K86" s="25"/>
      <c r="L86" s="25"/>
      <c r="M86" s="25"/>
      <c r="N86" s="23" t="s">
        <v>600</v>
      </c>
    </row>
    <row r="87" spans="1:14" x14ac:dyDescent="0.25">
      <c r="A87" s="23" t="s">
        <v>601</v>
      </c>
      <c r="B87" s="23"/>
      <c r="C87" s="12" t="s">
        <v>585</v>
      </c>
      <c r="D87" s="13"/>
      <c r="E87" s="34"/>
      <c r="F87" s="26">
        <v>2</v>
      </c>
      <c r="G87" s="14">
        <v>2</v>
      </c>
      <c r="H87" s="25"/>
      <c r="I87" s="25"/>
      <c r="J87" s="25">
        <v>0</v>
      </c>
      <c r="K87" s="25"/>
      <c r="L87" s="25"/>
      <c r="M87" s="25"/>
      <c r="N87" s="23" t="s">
        <v>435</v>
      </c>
    </row>
    <row r="88" spans="1:14" x14ac:dyDescent="0.25">
      <c r="A88" s="12" t="s">
        <v>602</v>
      </c>
      <c r="B88" s="12" t="s">
        <v>603</v>
      </c>
      <c r="C88" s="12" t="s">
        <v>585</v>
      </c>
      <c r="D88" s="13"/>
      <c r="E88" s="34"/>
      <c r="F88" s="26">
        <v>1</v>
      </c>
      <c r="G88" s="14">
        <v>1</v>
      </c>
      <c r="H88" s="14"/>
      <c r="I88" s="14"/>
      <c r="J88" s="14">
        <v>0</v>
      </c>
      <c r="K88" s="14"/>
      <c r="L88" s="14"/>
      <c r="M88" s="14"/>
      <c r="N88" s="12" t="s">
        <v>604</v>
      </c>
    </row>
    <row r="89" spans="1:14" x14ac:dyDescent="0.25">
      <c r="A89" s="27" t="s">
        <v>605</v>
      </c>
      <c r="B89" s="27" t="s">
        <v>606</v>
      </c>
      <c r="C89" s="12" t="s">
        <v>585</v>
      </c>
      <c r="D89" s="28"/>
      <c r="E89" s="34"/>
      <c r="F89" s="29">
        <v>2</v>
      </c>
      <c r="G89" s="14">
        <v>2</v>
      </c>
      <c r="H89" s="30"/>
      <c r="I89" s="30"/>
      <c r="J89" s="30">
        <v>0</v>
      </c>
      <c r="K89" s="30"/>
      <c r="L89" s="30"/>
      <c r="M89" s="30"/>
      <c r="N89" s="27" t="s">
        <v>607</v>
      </c>
    </row>
    <row r="90" spans="1:14" x14ac:dyDescent="0.25">
      <c r="A90" s="23" t="s">
        <v>608</v>
      </c>
      <c r="B90" s="27" t="s">
        <v>609</v>
      </c>
      <c r="C90" s="12" t="s">
        <v>585</v>
      </c>
      <c r="D90" s="24"/>
      <c r="E90" s="34"/>
      <c r="F90" s="26">
        <v>1</v>
      </c>
      <c r="G90" s="25">
        <v>1</v>
      </c>
      <c r="H90" s="25"/>
      <c r="I90" s="25"/>
      <c r="J90" s="25">
        <v>0</v>
      </c>
      <c r="K90" s="25"/>
      <c r="L90" s="25"/>
      <c r="M90" s="25"/>
      <c r="N90" s="23" t="s">
        <v>610</v>
      </c>
    </row>
    <row r="91" spans="1:14" x14ac:dyDescent="0.25">
      <c r="A91" s="27" t="s">
        <v>611</v>
      </c>
      <c r="B91" s="27" t="s">
        <v>584</v>
      </c>
      <c r="C91" s="12" t="s">
        <v>585</v>
      </c>
      <c r="D91" s="28"/>
      <c r="E91" s="34"/>
      <c r="F91" s="29">
        <v>2</v>
      </c>
      <c r="G91" s="14">
        <v>2</v>
      </c>
      <c r="H91" s="30"/>
      <c r="I91" s="30"/>
      <c r="J91" s="30">
        <v>1</v>
      </c>
      <c r="K91" s="30"/>
      <c r="L91" s="30"/>
      <c r="M91" s="30"/>
      <c r="N91" s="27" t="s">
        <v>612</v>
      </c>
    </row>
    <row r="92" spans="1:14" x14ac:dyDescent="0.25">
      <c r="A92" s="27" t="s">
        <v>613</v>
      </c>
      <c r="B92" s="27" t="s">
        <v>614</v>
      </c>
      <c r="C92" s="12" t="s">
        <v>585</v>
      </c>
      <c r="D92" s="28"/>
      <c r="E92" s="34"/>
      <c r="F92" s="29">
        <v>2</v>
      </c>
      <c r="G92" s="14">
        <v>2</v>
      </c>
      <c r="H92" s="30"/>
      <c r="I92" s="30"/>
      <c r="J92" s="30">
        <v>0</v>
      </c>
      <c r="K92" s="30"/>
      <c r="L92" s="30"/>
      <c r="M92" s="30"/>
      <c r="N92" s="27" t="s">
        <v>615</v>
      </c>
    </row>
    <row r="93" spans="1:14" x14ac:dyDescent="0.25">
      <c r="A93" s="27" t="s">
        <v>616</v>
      </c>
      <c r="B93" s="27"/>
      <c r="C93" s="12" t="s">
        <v>585</v>
      </c>
      <c r="D93" s="28"/>
      <c r="E93" s="34"/>
      <c r="F93" s="29">
        <v>2</v>
      </c>
      <c r="G93" s="30">
        <v>3</v>
      </c>
      <c r="H93" s="30"/>
      <c r="I93" s="30"/>
      <c r="J93" s="30">
        <v>0</v>
      </c>
      <c r="K93" s="30"/>
      <c r="L93" s="30"/>
      <c r="M93" s="30"/>
      <c r="N93" s="27" t="s">
        <v>617</v>
      </c>
    </row>
    <row r="94" spans="1:14" x14ac:dyDescent="0.25">
      <c r="A94" s="27" t="s">
        <v>618</v>
      </c>
      <c r="B94" s="27" t="s">
        <v>581</v>
      </c>
      <c r="C94" s="12" t="s">
        <v>585</v>
      </c>
      <c r="D94" s="28"/>
      <c r="E94" s="34"/>
      <c r="F94" s="29">
        <v>2</v>
      </c>
      <c r="G94" s="30">
        <v>3</v>
      </c>
      <c r="H94" s="30"/>
      <c r="I94" s="30"/>
      <c r="J94" s="30">
        <v>0</v>
      </c>
      <c r="K94" s="30"/>
      <c r="L94" s="30"/>
      <c r="M94" s="30"/>
      <c r="N94" s="27" t="s">
        <v>619</v>
      </c>
    </row>
    <row r="95" spans="1:14" x14ac:dyDescent="0.25">
      <c r="A95" s="12" t="s">
        <v>620</v>
      </c>
      <c r="B95" s="12" t="s">
        <v>621</v>
      </c>
      <c r="C95" s="12" t="s">
        <v>622</v>
      </c>
      <c r="D95" s="13"/>
      <c r="E95" s="34"/>
      <c r="F95" s="26">
        <v>2</v>
      </c>
      <c r="G95" s="14">
        <v>2</v>
      </c>
      <c r="H95" s="14"/>
      <c r="I95" s="14"/>
      <c r="J95" s="14">
        <v>0</v>
      </c>
      <c r="K95" s="14"/>
      <c r="L95" s="14"/>
      <c r="M95" s="14"/>
      <c r="N95" s="12" t="s">
        <v>623</v>
      </c>
    </row>
    <row r="96" spans="1:14" x14ac:dyDescent="0.25">
      <c r="A96" s="27" t="s">
        <v>624</v>
      </c>
      <c r="B96" s="27"/>
      <c r="C96" s="12" t="s">
        <v>622</v>
      </c>
      <c r="D96" s="28"/>
      <c r="E96" s="34"/>
      <c r="F96" s="29">
        <v>3</v>
      </c>
      <c r="G96" s="30">
        <v>3</v>
      </c>
      <c r="H96" s="30"/>
      <c r="I96" s="30"/>
      <c r="J96" s="30">
        <v>0</v>
      </c>
      <c r="K96" s="30"/>
      <c r="L96" s="30"/>
      <c r="M96" s="30"/>
      <c r="N96" s="27" t="s">
        <v>625</v>
      </c>
    </row>
    <row r="97" spans="1:14" x14ac:dyDescent="0.25">
      <c r="A97" s="12" t="s">
        <v>626</v>
      </c>
      <c r="B97" s="12"/>
      <c r="C97" s="12" t="s">
        <v>622</v>
      </c>
      <c r="D97" s="13"/>
      <c r="E97" s="34"/>
      <c r="F97" s="26">
        <v>1</v>
      </c>
      <c r="G97" s="14">
        <v>2</v>
      </c>
      <c r="H97" s="14"/>
      <c r="I97" s="14"/>
      <c r="J97" s="14">
        <v>0</v>
      </c>
      <c r="K97" s="14"/>
      <c r="L97" s="14"/>
      <c r="M97" s="14"/>
      <c r="N97" s="12" t="s">
        <v>627</v>
      </c>
    </row>
    <row r="98" spans="1:14" x14ac:dyDescent="0.25">
      <c r="A98" s="12" t="s">
        <v>628</v>
      </c>
      <c r="B98" s="12"/>
      <c r="C98" s="12" t="s">
        <v>622</v>
      </c>
      <c r="D98" s="13"/>
      <c r="E98" s="34"/>
      <c r="F98" s="26">
        <v>2</v>
      </c>
      <c r="G98" s="30">
        <v>3</v>
      </c>
      <c r="H98" s="14"/>
      <c r="I98" s="14"/>
      <c r="J98" s="14">
        <v>0</v>
      </c>
      <c r="K98" s="14"/>
      <c r="L98" s="14"/>
      <c r="M98" s="14"/>
      <c r="N98" s="12" t="s">
        <v>629</v>
      </c>
    </row>
    <row r="99" spans="1:14" x14ac:dyDescent="0.25">
      <c r="A99" s="12" t="s">
        <v>630</v>
      </c>
      <c r="B99" s="12"/>
      <c r="C99" s="12" t="s">
        <v>622</v>
      </c>
      <c r="D99" s="13"/>
      <c r="E99" s="34"/>
      <c r="F99" s="26">
        <v>2</v>
      </c>
      <c r="G99" s="14">
        <v>1</v>
      </c>
      <c r="H99" s="14"/>
      <c r="I99" s="14"/>
      <c r="J99" s="14">
        <v>0</v>
      </c>
      <c r="K99" s="14"/>
      <c r="L99" s="14"/>
      <c r="M99" s="14"/>
      <c r="N99" s="12" t="s">
        <v>439</v>
      </c>
    </row>
  </sheetData>
  <dataConsolidate/>
  <pageMargins left="0.7" right="0.7" top="0.78740157499999996" bottom="0.78740157499999996" header="0.3" footer="0.3"/>
  <pageSetup paperSize="9" orientation="portrait" verticalDpi="0"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_Language"/>
  <dimension ref="A1:D109"/>
  <sheetViews>
    <sheetView zoomScaleNormal="100" workbookViewId="0">
      <pane xSplit="1" ySplit="6" topLeftCell="B7" activePane="bottomRight" state="frozen"/>
      <selection pane="topRight" activeCell="B1" sqref="B1"/>
      <selection pane="bottomLeft" activeCell="A7" sqref="A7"/>
      <selection pane="bottomRight" activeCell="A4" sqref="A4"/>
    </sheetView>
  </sheetViews>
  <sheetFormatPr baseColWidth="10" defaultRowHeight="15" x14ac:dyDescent="0.25"/>
  <cols>
    <col min="1" max="1" width="27.5703125" bestFit="1" customWidth="1"/>
    <col min="2" max="4" width="66.85546875" customWidth="1"/>
  </cols>
  <sheetData>
    <row r="1" spans="1:4" ht="18.75" x14ac:dyDescent="0.3">
      <c r="A1" s="6" t="str">
        <f ca="1">MID(CELL("filename",A1),FIND("]",CELL("filename",A1))+1,256)</f>
        <v>Jazyk</v>
      </c>
    </row>
    <row r="3" spans="1:4" x14ac:dyDescent="0.25">
      <c r="A3" s="5" t="s">
        <v>93</v>
      </c>
    </row>
    <row r="4" spans="1:4" x14ac:dyDescent="0.25">
      <c r="A4" s="37" t="s">
        <v>7</v>
      </c>
    </row>
    <row r="6" spans="1:4" x14ac:dyDescent="0.25">
      <c r="A6" s="15" t="s">
        <v>6</v>
      </c>
      <c r="B6" s="15" t="s">
        <v>9</v>
      </c>
      <c r="C6" s="15" t="s">
        <v>8</v>
      </c>
      <c r="D6" s="15" t="s">
        <v>7</v>
      </c>
    </row>
    <row r="7" spans="1:4" x14ac:dyDescent="0.25">
      <c r="A7" s="19" t="s">
        <v>64</v>
      </c>
      <c r="B7" s="16" t="s">
        <v>11</v>
      </c>
      <c r="C7" s="16" t="s">
        <v>285</v>
      </c>
      <c r="D7" s="16" t="s">
        <v>68</v>
      </c>
    </row>
    <row r="8" spans="1:4" x14ac:dyDescent="0.25">
      <c r="A8" s="19" t="s">
        <v>65</v>
      </c>
      <c r="B8" s="16" t="s">
        <v>12</v>
      </c>
      <c r="C8" s="16" t="s">
        <v>226</v>
      </c>
      <c r="D8" s="16" t="s">
        <v>69</v>
      </c>
    </row>
    <row r="9" spans="1:4" x14ac:dyDescent="0.25">
      <c r="A9" s="19" t="s">
        <v>66</v>
      </c>
      <c r="B9" s="16" t="s">
        <v>13</v>
      </c>
      <c r="C9" s="16" t="s">
        <v>227</v>
      </c>
      <c r="D9" s="16" t="s">
        <v>70</v>
      </c>
    </row>
    <row r="10" spans="1:4" x14ac:dyDescent="0.25">
      <c r="A10" s="19" t="s">
        <v>67</v>
      </c>
      <c r="B10" s="16" t="s">
        <v>14</v>
      </c>
      <c r="C10" s="16" t="s">
        <v>256</v>
      </c>
      <c r="D10" s="16" t="s">
        <v>10</v>
      </c>
    </row>
    <row r="11" spans="1:4" x14ac:dyDescent="0.25">
      <c r="A11" s="20" t="s">
        <v>34</v>
      </c>
      <c r="B11" s="16" t="s">
        <v>104</v>
      </c>
      <c r="C11" s="16" t="s">
        <v>228</v>
      </c>
      <c r="D11" s="17" t="s">
        <v>71</v>
      </c>
    </row>
    <row r="12" spans="1:4" x14ac:dyDescent="0.25">
      <c r="A12" s="20" t="s">
        <v>35</v>
      </c>
      <c r="B12" s="16" t="s">
        <v>105</v>
      </c>
      <c r="C12" s="16" t="s">
        <v>229</v>
      </c>
      <c r="D12" s="17" t="s">
        <v>72</v>
      </c>
    </row>
    <row r="13" spans="1:4" x14ac:dyDescent="0.25">
      <c r="A13" s="20" t="s">
        <v>322</v>
      </c>
      <c r="B13" s="16" t="s">
        <v>326</v>
      </c>
      <c r="C13" s="16" t="s">
        <v>335</v>
      </c>
      <c r="D13" s="17" t="s">
        <v>341</v>
      </c>
    </row>
    <row r="14" spans="1:4" x14ac:dyDescent="0.25">
      <c r="A14" s="20" t="s">
        <v>36</v>
      </c>
      <c r="B14" s="16" t="s">
        <v>106</v>
      </c>
      <c r="C14" s="16" t="s">
        <v>230</v>
      </c>
      <c r="D14" s="17" t="s">
        <v>73</v>
      </c>
    </row>
    <row r="15" spans="1:4" x14ac:dyDescent="0.25">
      <c r="A15" s="20" t="s">
        <v>37</v>
      </c>
      <c r="B15" s="16" t="s">
        <v>107</v>
      </c>
      <c r="C15" s="16" t="s">
        <v>231</v>
      </c>
      <c r="D15" s="17" t="s">
        <v>74</v>
      </c>
    </row>
    <row r="16" spans="1:4" x14ac:dyDescent="0.25">
      <c r="A16" s="20" t="s">
        <v>38</v>
      </c>
      <c r="B16" s="16" t="s">
        <v>15</v>
      </c>
      <c r="C16" s="16" t="s">
        <v>232</v>
      </c>
      <c r="D16" s="17" t="s">
        <v>75</v>
      </c>
    </row>
    <row r="17" spans="1:4" x14ac:dyDescent="0.25">
      <c r="A17" s="20" t="s">
        <v>323</v>
      </c>
      <c r="B17" s="16" t="s">
        <v>327</v>
      </c>
      <c r="C17" s="16" t="s">
        <v>338</v>
      </c>
      <c r="D17" s="17" t="s">
        <v>344</v>
      </c>
    </row>
    <row r="18" spans="1:4" x14ac:dyDescent="0.25">
      <c r="A18" s="20" t="s">
        <v>39</v>
      </c>
      <c r="B18" s="16" t="s">
        <v>16</v>
      </c>
      <c r="C18" s="16" t="s">
        <v>233</v>
      </c>
      <c r="D18" s="17" t="s">
        <v>76</v>
      </c>
    </row>
    <row r="19" spans="1:4" x14ac:dyDescent="0.25">
      <c r="A19" s="20" t="s">
        <v>40</v>
      </c>
      <c r="B19" s="16" t="s">
        <v>17</v>
      </c>
      <c r="C19" s="16" t="s">
        <v>297</v>
      </c>
      <c r="D19" s="17" t="s">
        <v>77</v>
      </c>
    </row>
    <row r="20" spans="1:4" x14ac:dyDescent="0.25">
      <c r="A20" s="20" t="s">
        <v>41</v>
      </c>
      <c r="B20" s="16" t="s">
        <v>18</v>
      </c>
      <c r="C20" s="16" t="s">
        <v>296</v>
      </c>
      <c r="D20" s="17" t="s">
        <v>78</v>
      </c>
    </row>
    <row r="21" spans="1:4" x14ac:dyDescent="0.25">
      <c r="A21" s="20" t="s">
        <v>42</v>
      </c>
      <c r="B21" s="16" t="s">
        <v>19</v>
      </c>
      <c r="C21" s="16" t="s">
        <v>234</v>
      </c>
      <c r="D21" s="17" t="s">
        <v>79</v>
      </c>
    </row>
    <row r="22" spans="1:4" x14ac:dyDescent="0.25">
      <c r="A22" s="39" t="s">
        <v>384</v>
      </c>
      <c r="B22" s="16" t="s">
        <v>385</v>
      </c>
      <c r="C22" s="35" t="s">
        <v>383</v>
      </c>
      <c r="D22" s="16" t="s">
        <v>386</v>
      </c>
    </row>
    <row r="23" spans="1:4" x14ac:dyDescent="0.25">
      <c r="A23" s="20" t="s">
        <v>43</v>
      </c>
      <c r="B23" s="16" t="s">
        <v>20</v>
      </c>
      <c r="C23" s="16" t="s">
        <v>235</v>
      </c>
      <c r="D23" s="17" t="s">
        <v>80</v>
      </c>
    </row>
    <row r="24" spans="1:4" x14ac:dyDescent="0.25">
      <c r="A24" s="20" t="s">
        <v>44</v>
      </c>
      <c r="B24" s="16" t="s">
        <v>21</v>
      </c>
      <c r="C24" s="16" t="s">
        <v>236</v>
      </c>
      <c r="D24" s="17" t="s">
        <v>81</v>
      </c>
    </row>
    <row r="25" spans="1:4" x14ac:dyDescent="0.25">
      <c r="A25" s="20" t="s">
        <v>45</v>
      </c>
      <c r="B25" s="16" t="s">
        <v>22</v>
      </c>
      <c r="C25" s="16" t="s">
        <v>237</v>
      </c>
      <c r="D25" s="17" t="s">
        <v>82</v>
      </c>
    </row>
    <row r="26" spans="1:4" x14ac:dyDescent="0.25">
      <c r="A26" s="20" t="s">
        <v>353</v>
      </c>
      <c r="B26" s="17" t="s">
        <v>349</v>
      </c>
      <c r="C26" s="31" t="s">
        <v>350</v>
      </c>
      <c r="D26" s="17" t="s">
        <v>351</v>
      </c>
    </row>
    <row r="27" spans="1:4" x14ac:dyDescent="0.25">
      <c r="A27" s="19" t="s">
        <v>303</v>
      </c>
      <c r="B27" s="16" t="s">
        <v>304</v>
      </c>
      <c r="C27" s="16" t="s">
        <v>305</v>
      </c>
      <c r="D27" s="16" t="s">
        <v>306</v>
      </c>
    </row>
    <row r="28" spans="1:4" x14ac:dyDescent="0.25">
      <c r="A28" s="20" t="s">
        <v>352</v>
      </c>
      <c r="B28" s="17" t="s">
        <v>354</v>
      </c>
      <c r="C28" s="35" t="s">
        <v>373</v>
      </c>
      <c r="D28" s="17" t="s">
        <v>355</v>
      </c>
    </row>
    <row r="29" spans="1:4" x14ac:dyDescent="0.25">
      <c r="A29" s="20" t="s">
        <v>46</v>
      </c>
      <c r="B29" s="16" t="s">
        <v>23</v>
      </c>
      <c r="C29" s="16" t="s">
        <v>238</v>
      </c>
      <c r="D29" s="17" t="s">
        <v>83</v>
      </c>
    </row>
    <row r="30" spans="1:4" x14ac:dyDescent="0.25">
      <c r="A30" s="20" t="s">
        <v>47</v>
      </c>
      <c r="B30" s="16" t="s">
        <v>130</v>
      </c>
      <c r="C30" s="16" t="s">
        <v>239</v>
      </c>
      <c r="D30" s="17" t="s">
        <v>1</v>
      </c>
    </row>
    <row r="31" spans="1:4" x14ac:dyDescent="0.25">
      <c r="A31" s="19" t="s">
        <v>48</v>
      </c>
      <c r="B31" s="16" t="s">
        <v>24</v>
      </c>
      <c r="C31" s="16" t="s">
        <v>240</v>
      </c>
      <c r="D31" s="17" t="s">
        <v>84</v>
      </c>
    </row>
    <row r="32" spans="1:4" x14ac:dyDescent="0.25">
      <c r="A32" s="19" t="s">
        <v>382</v>
      </c>
      <c r="B32" s="16" t="s">
        <v>387</v>
      </c>
      <c r="C32" s="35" t="s">
        <v>388</v>
      </c>
      <c r="D32" s="16" t="s">
        <v>389</v>
      </c>
    </row>
    <row r="33" spans="1:4" x14ac:dyDescent="0.25">
      <c r="A33" s="38" t="s">
        <v>374</v>
      </c>
      <c r="B33" s="17" t="s">
        <v>377</v>
      </c>
      <c r="C33" s="17" t="s">
        <v>375</v>
      </c>
      <c r="D33" s="17" t="s">
        <v>376</v>
      </c>
    </row>
    <row r="34" spans="1:4" x14ac:dyDescent="0.25">
      <c r="A34" s="20" t="s">
        <v>211</v>
      </c>
      <c r="B34" s="17" t="s">
        <v>214</v>
      </c>
      <c r="C34" s="22" t="s">
        <v>241</v>
      </c>
      <c r="D34" s="17" t="s">
        <v>208</v>
      </c>
    </row>
    <row r="35" spans="1:4" x14ac:dyDescent="0.25">
      <c r="A35" s="20" t="s">
        <v>213</v>
      </c>
      <c r="B35" s="17" t="s">
        <v>215</v>
      </c>
      <c r="C35" s="22" t="s">
        <v>242</v>
      </c>
      <c r="D35" s="17" t="s">
        <v>210</v>
      </c>
    </row>
    <row r="36" spans="1:4" x14ac:dyDescent="0.25">
      <c r="A36" s="20" t="s">
        <v>312</v>
      </c>
      <c r="B36" s="17" t="s">
        <v>313</v>
      </c>
      <c r="C36" s="31" t="s">
        <v>314</v>
      </c>
      <c r="D36" s="17" t="s">
        <v>307</v>
      </c>
    </row>
    <row r="37" spans="1:4" x14ac:dyDescent="0.25">
      <c r="A37" s="20" t="s">
        <v>212</v>
      </c>
      <c r="B37" s="17" t="s">
        <v>216</v>
      </c>
      <c r="C37" s="22" t="s">
        <v>245</v>
      </c>
      <c r="D37" s="17" t="s">
        <v>209</v>
      </c>
    </row>
    <row r="38" spans="1:4" x14ac:dyDescent="0.25">
      <c r="A38" s="19" t="s">
        <v>49</v>
      </c>
      <c r="B38" s="16" t="s">
        <v>108</v>
      </c>
      <c r="C38" s="16" t="s">
        <v>243</v>
      </c>
      <c r="D38" s="16" t="s">
        <v>85</v>
      </c>
    </row>
    <row r="39" spans="1:4" x14ac:dyDescent="0.25">
      <c r="A39" s="19" t="s">
        <v>50</v>
      </c>
      <c r="B39" s="16" t="s">
        <v>298</v>
      </c>
      <c r="C39" s="16" t="s">
        <v>244</v>
      </c>
      <c r="D39" s="16" t="s">
        <v>86</v>
      </c>
    </row>
    <row r="40" spans="1:4" x14ac:dyDescent="0.25">
      <c r="A40" s="19" t="s">
        <v>51</v>
      </c>
      <c r="B40" s="16" t="s">
        <v>25</v>
      </c>
      <c r="C40" s="16" t="s">
        <v>246</v>
      </c>
      <c r="D40" s="16" t="s">
        <v>87</v>
      </c>
    </row>
    <row r="41" spans="1:4" x14ac:dyDescent="0.25">
      <c r="A41" s="19" t="s">
        <v>52</v>
      </c>
      <c r="B41" s="16" t="s">
        <v>26</v>
      </c>
      <c r="C41" s="16" t="s">
        <v>247</v>
      </c>
      <c r="D41" s="16" t="s">
        <v>88</v>
      </c>
    </row>
    <row r="42" spans="1:4" x14ac:dyDescent="0.25">
      <c r="A42" s="20" t="s">
        <v>356</v>
      </c>
      <c r="B42" s="17" t="s">
        <v>357</v>
      </c>
      <c r="C42" s="31" t="s">
        <v>358</v>
      </c>
      <c r="D42" s="17" t="s">
        <v>357</v>
      </c>
    </row>
    <row r="43" spans="1:4" x14ac:dyDescent="0.25">
      <c r="A43" s="19" t="s">
        <v>53</v>
      </c>
      <c r="B43" s="16" t="s">
        <v>27</v>
      </c>
      <c r="C43" s="16" t="s">
        <v>295</v>
      </c>
      <c r="D43" s="16" t="s">
        <v>89</v>
      </c>
    </row>
    <row r="44" spans="1:4" x14ac:dyDescent="0.25">
      <c r="A44" s="19" t="s">
        <v>54</v>
      </c>
      <c r="B44" s="16" t="s">
        <v>28</v>
      </c>
      <c r="C44" s="16" t="s">
        <v>248</v>
      </c>
      <c r="D44" s="16" t="s">
        <v>90</v>
      </c>
    </row>
    <row r="45" spans="1:4" x14ac:dyDescent="0.25">
      <c r="A45" s="19" t="s">
        <v>369</v>
      </c>
      <c r="B45" s="16" t="s">
        <v>370</v>
      </c>
      <c r="C45" s="16" t="s">
        <v>371</v>
      </c>
      <c r="D45" s="16" t="s">
        <v>372</v>
      </c>
    </row>
    <row r="46" spans="1:4" x14ac:dyDescent="0.25">
      <c r="A46" s="19" t="s">
        <v>55</v>
      </c>
      <c r="B46" s="16" t="s">
        <v>95</v>
      </c>
      <c r="C46" s="16" t="s">
        <v>249</v>
      </c>
      <c r="D46" s="16" t="s">
        <v>404</v>
      </c>
    </row>
    <row r="47" spans="1:4" x14ac:dyDescent="0.25">
      <c r="A47" s="19" t="s">
        <v>405</v>
      </c>
      <c r="B47" s="16" t="s">
        <v>96</v>
      </c>
      <c r="C47" s="16" t="s">
        <v>250</v>
      </c>
      <c r="D47" s="16" t="s">
        <v>2</v>
      </c>
    </row>
    <row r="48" spans="1:4" x14ac:dyDescent="0.25">
      <c r="A48" s="19" t="s">
        <v>56</v>
      </c>
      <c r="B48" s="16" t="s">
        <v>29</v>
      </c>
      <c r="C48" s="16" t="s">
        <v>251</v>
      </c>
      <c r="D48" s="16" t="s">
        <v>406</v>
      </c>
    </row>
    <row r="49" spans="1:4" x14ac:dyDescent="0.25">
      <c r="A49" s="19" t="s">
        <v>57</v>
      </c>
      <c r="B49" s="16" t="s">
        <v>30</v>
      </c>
      <c r="C49" s="16" t="s">
        <v>252</v>
      </c>
      <c r="D49" s="16" t="s">
        <v>91</v>
      </c>
    </row>
    <row r="50" spans="1:4" x14ac:dyDescent="0.25">
      <c r="A50" s="19" t="s">
        <v>58</v>
      </c>
      <c r="B50" s="16" t="s">
        <v>31</v>
      </c>
      <c r="C50" s="16" t="s">
        <v>257</v>
      </c>
      <c r="D50" s="16" t="s">
        <v>92</v>
      </c>
    </row>
    <row r="51" spans="1:4" x14ac:dyDescent="0.25">
      <c r="A51" s="19" t="s">
        <v>59</v>
      </c>
      <c r="B51" s="16" t="s">
        <v>32</v>
      </c>
      <c r="C51" s="16" t="s">
        <v>253</v>
      </c>
      <c r="D51" s="16" t="s">
        <v>4</v>
      </c>
    </row>
    <row r="52" spans="1:4" x14ac:dyDescent="0.25">
      <c r="A52" s="19" t="s">
        <v>60</v>
      </c>
      <c r="B52" s="16" t="s">
        <v>33</v>
      </c>
      <c r="C52" s="16" t="s">
        <v>254</v>
      </c>
      <c r="D52" s="16" t="s">
        <v>5</v>
      </c>
    </row>
    <row r="53" spans="1:4" x14ac:dyDescent="0.25">
      <c r="A53" s="19" t="s">
        <v>61</v>
      </c>
      <c r="B53" s="16" t="s">
        <v>109</v>
      </c>
      <c r="C53" s="16" t="s">
        <v>255</v>
      </c>
      <c r="D53" s="16" t="s">
        <v>93</v>
      </c>
    </row>
    <row r="54" spans="1:4" x14ac:dyDescent="0.25">
      <c r="A54" s="19" t="s">
        <v>62</v>
      </c>
      <c r="B54" s="16" t="s">
        <v>110</v>
      </c>
      <c r="C54" s="16" t="s">
        <v>286</v>
      </c>
      <c r="D54" s="16" t="s">
        <v>94</v>
      </c>
    </row>
    <row r="55" spans="1:4" x14ac:dyDescent="0.25">
      <c r="A55" s="19" t="s">
        <v>63</v>
      </c>
      <c r="B55" s="16" t="s">
        <v>6</v>
      </c>
      <c r="C55" s="16" t="s">
        <v>6</v>
      </c>
      <c r="D55" s="16" t="s">
        <v>6</v>
      </c>
    </row>
    <row r="56" spans="1:4" x14ac:dyDescent="0.25">
      <c r="A56" s="20" t="s">
        <v>393</v>
      </c>
      <c r="B56" s="17" t="s">
        <v>394</v>
      </c>
      <c r="C56" s="31" t="s">
        <v>395</v>
      </c>
      <c r="D56" s="17" t="s">
        <v>396</v>
      </c>
    </row>
    <row r="57" spans="1:4" ht="108" x14ac:dyDescent="0.25">
      <c r="A57" s="20" t="s">
        <v>397</v>
      </c>
      <c r="B57" s="17" t="s">
        <v>398</v>
      </c>
      <c r="C57" s="22" t="s">
        <v>402</v>
      </c>
      <c r="D57" s="17" t="s">
        <v>403</v>
      </c>
    </row>
    <row r="58" spans="1:4" ht="36" x14ac:dyDescent="0.25">
      <c r="A58" s="20" t="s">
        <v>324</v>
      </c>
      <c r="B58" s="17" t="s">
        <v>328</v>
      </c>
      <c r="C58" s="16" t="s">
        <v>339</v>
      </c>
      <c r="D58" s="16" t="s">
        <v>345</v>
      </c>
    </row>
    <row r="59" spans="1:4" ht="36" x14ac:dyDescent="0.25">
      <c r="A59" s="20" t="s">
        <v>118</v>
      </c>
      <c r="B59" s="17" t="s">
        <v>206</v>
      </c>
      <c r="C59" s="16" t="s">
        <v>258</v>
      </c>
      <c r="D59" s="16" t="s">
        <v>207</v>
      </c>
    </row>
    <row r="60" spans="1:4" ht="60" x14ac:dyDescent="0.25">
      <c r="A60" s="20" t="s">
        <v>119</v>
      </c>
      <c r="B60" s="17" t="s">
        <v>329</v>
      </c>
      <c r="C60" s="17" t="s">
        <v>330</v>
      </c>
      <c r="D60" s="16" t="s">
        <v>331</v>
      </c>
    </row>
    <row r="61" spans="1:4" ht="84" x14ac:dyDescent="0.25">
      <c r="A61" s="20" t="s">
        <v>120</v>
      </c>
      <c r="B61" s="17" t="s">
        <v>332</v>
      </c>
      <c r="C61" s="17" t="s">
        <v>340</v>
      </c>
      <c r="D61" s="16" t="s">
        <v>346</v>
      </c>
    </row>
    <row r="62" spans="1:4" ht="60" x14ac:dyDescent="0.25">
      <c r="A62" s="20" t="s">
        <v>325</v>
      </c>
      <c r="B62" s="17" t="s">
        <v>333</v>
      </c>
      <c r="C62" s="17" t="s">
        <v>336</v>
      </c>
      <c r="D62" s="16" t="s">
        <v>342</v>
      </c>
    </row>
    <row r="63" spans="1:4" ht="48" x14ac:dyDescent="0.25">
      <c r="A63" s="20" t="s">
        <v>122</v>
      </c>
      <c r="B63" s="17" t="s">
        <v>111</v>
      </c>
      <c r="C63" s="17" t="s">
        <v>259</v>
      </c>
      <c r="D63" s="16" t="s">
        <v>161</v>
      </c>
    </row>
    <row r="64" spans="1:4" ht="48" x14ac:dyDescent="0.25">
      <c r="A64" s="20" t="s">
        <v>124</v>
      </c>
      <c r="B64" s="17" t="s">
        <v>112</v>
      </c>
      <c r="C64" s="17" t="s">
        <v>260</v>
      </c>
      <c r="D64" s="16" t="s">
        <v>162</v>
      </c>
    </row>
    <row r="65" spans="1:4" ht="48" x14ac:dyDescent="0.25">
      <c r="A65" s="20" t="s">
        <v>121</v>
      </c>
      <c r="B65" s="17" t="s">
        <v>113</v>
      </c>
      <c r="C65" s="17" t="s">
        <v>261</v>
      </c>
      <c r="D65" s="16" t="s">
        <v>163</v>
      </c>
    </row>
    <row r="66" spans="1:4" ht="48" x14ac:dyDescent="0.25">
      <c r="A66" s="20" t="s">
        <v>123</v>
      </c>
      <c r="B66" s="17" t="s">
        <v>134</v>
      </c>
      <c r="C66" s="17" t="s">
        <v>262</v>
      </c>
      <c r="D66" s="16" t="s">
        <v>164</v>
      </c>
    </row>
    <row r="67" spans="1:4" ht="48" x14ac:dyDescent="0.25">
      <c r="A67" s="20" t="s">
        <v>125</v>
      </c>
      <c r="B67" s="21" t="s">
        <v>135</v>
      </c>
      <c r="C67" s="17" t="s">
        <v>263</v>
      </c>
      <c r="D67" s="16" t="s">
        <v>165</v>
      </c>
    </row>
    <row r="68" spans="1:4" ht="48" x14ac:dyDescent="0.25">
      <c r="A68" s="20" t="s">
        <v>366</v>
      </c>
      <c r="B68" s="17" t="s">
        <v>367</v>
      </c>
      <c r="C68" s="17" t="s">
        <v>368</v>
      </c>
      <c r="D68" s="16" t="s">
        <v>407</v>
      </c>
    </row>
    <row r="69" spans="1:4" x14ac:dyDescent="0.25">
      <c r="A69" s="20" t="s">
        <v>153</v>
      </c>
      <c r="B69" s="21" t="s">
        <v>157</v>
      </c>
      <c r="C69" s="21" t="s">
        <v>270</v>
      </c>
      <c r="D69" s="16" t="s">
        <v>166</v>
      </c>
    </row>
    <row r="70" spans="1:4" x14ac:dyDescent="0.25">
      <c r="A70" s="20" t="s">
        <v>155</v>
      </c>
      <c r="B70" s="21" t="s">
        <v>156</v>
      </c>
      <c r="C70" s="21" t="s">
        <v>264</v>
      </c>
      <c r="D70" s="21" t="s">
        <v>173</v>
      </c>
    </row>
    <row r="71" spans="1:4" x14ac:dyDescent="0.25">
      <c r="A71" s="20" t="s">
        <v>126</v>
      </c>
      <c r="B71" s="21" t="s">
        <v>97</v>
      </c>
      <c r="C71" s="21" t="s">
        <v>265</v>
      </c>
      <c r="D71" s="16" t="s">
        <v>167</v>
      </c>
    </row>
    <row r="72" spans="1:4" x14ac:dyDescent="0.25">
      <c r="A72" s="20" t="s">
        <v>127</v>
      </c>
      <c r="B72" s="21" t="s">
        <v>98</v>
      </c>
      <c r="C72" s="21" t="s">
        <v>266</v>
      </c>
      <c r="D72" s="16" t="s">
        <v>168</v>
      </c>
    </row>
    <row r="73" spans="1:4" x14ac:dyDescent="0.25">
      <c r="A73" s="20" t="s">
        <v>151</v>
      </c>
      <c r="B73" s="21" t="s">
        <v>102</v>
      </c>
      <c r="C73" s="21" t="s">
        <v>267</v>
      </c>
      <c r="D73" s="17" t="s">
        <v>169</v>
      </c>
    </row>
    <row r="74" spans="1:4" ht="36" x14ac:dyDescent="0.25">
      <c r="A74" s="20" t="s">
        <v>132</v>
      </c>
      <c r="B74" s="21" t="s">
        <v>321</v>
      </c>
      <c r="C74" s="21" t="s">
        <v>320</v>
      </c>
      <c r="D74" s="16" t="s">
        <v>319</v>
      </c>
    </row>
    <row r="75" spans="1:4" ht="24" x14ac:dyDescent="0.25">
      <c r="A75" s="20" t="s">
        <v>129</v>
      </c>
      <c r="B75" s="21" t="s">
        <v>99</v>
      </c>
      <c r="C75" s="21" t="s">
        <v>268</v>
      </c>
      <c r="D75" s="16" t="s">
        <v>170</v>
      </c>
    </row>
    <row r="76" spans="1:4" ht="24" x14ac:dyDescent="0.25">
      <c r="A76" s="20" t="s">
        <v>128</v>
      </c>
      <c r="B76" s="21" t="s">
        <v>103</v>
      </c>
      <c r="C76" s="21" t="s">
        <v>269</v>
      </c>
      <c r="D76" s="16" t="s">
        <v>171</v>
      </c>
    </row>
    <row r="77" spans="1:4" x14ac:dyDescent="0.25">
      <c r="A77" s="20" t="s">
        <v>154</v>
      </c>
      <c r="B77" s="21" t="s">
        <v>159</v>
      </c>
      <c r="C77" s="21" t="s">
        <v>271</v>
      </c>
      <c r="D77" s="16" t="s">
        <v>172</v>
      </c>
    </row>
    <row r="78" spans="1:4" x14ac:dyDescent="0.25">
      <c r="A78" s="20" t="s">
        <v>158</v>
      </c>
      <c r="B78" s="21" t="s">
        <v>160</v>
      </c>
      <c r="C78" s="21" t="s">
        <v>272</v>
      </c>
      <c r="D78" s="21" t="s">
        <v>174</v>
      </c>
    </row>
    <row r="79" spans="1:4" x14ac:dyDescent="0.25">
      <c r="A79" s="20" t="s">
        <v>131</v>
      </c>
      <c r="B79" s="21" t="s">
        <v>100</v>
      </c>
      <c r="C79" s="21" t="s">
        <v>273</v>
      </c>
      <c r="D79" s="16" t="s">
        <v>175</v>
      </c>
    </row>
    <row r="80" spans="1:4" x14ac:dyDescent="0.25">
      <c r="A80" s="20" t="s">
        <v>152</v>
      </c>
      <c r="B80" s="21" t="s">
        <v>101</v>
      </c>
      <c r="C80" s="21" t="s">
        <v>274</v>
      </c>
      <c r="D80" s="17" t="s">
        <v>176</v>
      </c>
    </row>
    <row r="81" spans="1:4" ht="24" x14ac:dyDescent="0.25">
      <c r="A81" s="20" t="s">
        <v>133</v>
      </c>
      <c r="B81" s="21" t="s">
        <v>136</v>
      </c>
      <c r="C81" s="21" t="s">
        <v>275</v>
      </c>
      <c r="D81" s="16" t="s">
        <v>177</v>
      </c>
    </row>
    <row r="82" spans="1:4" ht="36" x14ac:dyDescent="0.25">
      <c r="A82" s="20" t="s">
        <v>378</v>
      </c>
      <c r="B82" s="21" t="s">
        <v>379</v>
      </c>
      <c r="C82" s="21" t="s">
        <v>380</v>
      </c>
      <c r="D82" s="21" t="s">
        <v>381</v>
      </c>
    </row>
    <row r="83" spans="1:4" ht="36" x14ac:dyDescent="0.25">
      <c r="A83" s="20" t="s">
        <v>217</v>
      </c>
      <c r="B83" s="21" t="s">
        <v>219</v>
      </c>
      <c r="C83" s="21" t="s">
        <v>276</v>
      </c>
      <c r="D83" s="21" t="s">
        <v>218</v>
      </c>
    </row>
    <row r="84" spans="1:4" ht="36" x14ac:dyDescent="0.25">
      <c r="A84" s="20" t="s">
        <v>220</v>
      </c>
      <c r="B84" s="21" t="s">
        <v>221</v>
      </c>
      <c r="C84" s="21" t="s">
        <v>277</v>
      </c>
      <c r="D84" s="21" t="s">
        <v>222</v>
      </c>
    </row>
    <row r="85" spans="1:4" ht="36" x14ac:dyDescent="0.25">
      <c r="A85" s="20" t="s">
        <v>308</v>
      </c>
      <c r="B85" s="21" t="s">
        <v>309</v>
      </c>
      <c r="C85" s="21" t="s">
        <v>310</v>
      </c>
      <c r="D85" s="21" t="s">
        <v>311</v>
      </c>
    </row>
    <row r="86" spans="1:4" ht="36" x14ac:dyDescent="0.25">
      <c r="A86" s="20" t="s">
        <v>223</v>
      </c>
      <c r="B86" s="21" t="s">
        <v>224</v>
      </c>
      <c r="C86" s="21" t="s">
        <v>278</v>
      </c>
      <c r="D86" s="21" t="s">
        <v>225</v>
      </c>
    </row>
    <row r="87" spans="1:4" ht="48" x14ac:dyDescent="0.25">
      <c r="A87" s="20" t="s">
        <v>137</v>
      </c>
      <c r="B87" s="17" t="s">
        <v>150</v>
      </c>
      <c r="C87" s="17" t="s">
        <v>279</v>
      </c>
      <c r="D87" s="16" t="s">
        <v>178</v>
      </c>
    </row>
    <row r="88" spans="1:4" ht="36" x14ac:dyDescent="0.25">
      <c r="A88" s="20" t="s">
        <v>138</v>
      </c>
      <c r="B88" s="17" t="s">
        <v>179</v>
      </c>
      <c r="C88" s="17" t="s">
        <v>281</v>
      </c>
      <c r="D88" s="16" t="s">
        <v>184</v>
      </c>
    </row>
    <row r="89" spans="1:4" ht="48" x14ac:dyDescent="0.25">
      <c r="A89" s="20" t="s">
        <v>139</v>
      </c>
      <c r="B89" s="17" t="s">
        <v>114</v>
      </c>
      <c r="C89" s="17" t="s">
        <v>280</v>
      </c>
      <c r="D89" s="16" t="s">
        <v>180</v>
      </c>
    </row>
    <row r="90" spans="1:4" ht="108" x14ac:dyDescent="0.25">
      <c r="A90" s="20" t="s">
        <v>140</v>
      </c>
      <c r="B90" s="17" t="s">
        <v>334</v>
      </c>
      <c r="C90" s="17" t="s">
        <v>337</v>
      </c>
      <c r="D90" s="16" t="s">
        <v>343</v>
      </c>
    </row>
    <row r="91" spans="1:4" ht="36" x14ac:dyDescent="0.25">
      <c r="A91" s="20" t="s">
        <v>142</v>
      </c>
      <c r="B91" s="17" t="s">
        <v>141</v>
      </c>
      <c r="C91" s="17" t="s">
        <v>282</v>
      </c>
      <c r="D91" s="16" t="s">
        <v>181</v>
      </c>
    </row>
    <row r="92" spans="1:4" ht="36" x14ac:dyDescent="0.25">
      <c r="A92" s="20" t="s">
        <v>147</v>
      </c>
      <c r="B92" s="17" t="s">
        <v>115</v>
      </c>
      <c r="C92" s="17" t="s">
        <v>283</v>
      </c>
      <c r="D92" s="16" t="s">
        <v>408</v>
      </c>
    </row>
    <row r="93" spans="1:4" ht="36" x14ac:dyDescent="0.25">
      <c r="A93" s="20" t="s">
        <v>143</v>
      </c>
      <c r="B93" s="17" t="s">
        <v>144</v>
      </c>
      <c r="C93" s="17" t="s">
        <v>284</v>
      </c>
      <c r="D93" s="16" t="s">
        <v>182</v>
      </c>
    </row>
    <row r="94" spans="1:4" ht="36" x14ac:dyDescent="0.25">
      <c r="A94" s="20" t="s">
        <v>315</v>
      </c>
      <c r="B94" s="17" t="s">
        <v>316</v>
      </c>
      <c r="C94" s="17" t="s">
        <v>317</v>
      </c>
      <c r="D94" s="16" t="s">
        <v>318</v>
      </c>
    </row>
    <row r="95" spans="1:4" ht="72" x14ac:dyDescent="0.25">
      <c r="A95" s="20" t="s">
        <v>359</v>
      </c>
      <c r="B95" s="17" t="s">
        <v>360</v>
      </c>
      <c r="C95" s="17" t="s">
        <v>361</v>
      </c>
      <c r="D95" s="17" t="s">
        <v>409</v>
      </c>
    </row>
    <row r="96" spans="1:4" ht="48" x14ac:dyDescent="0.25">
      <c r="A96" s="20" t="s">
        <v>145</v>
      </c>
      <c r="B96" s="17" t="s">
        <v>116</v>
      </c>
      <c r="C96" s="17" t="s">
        <v>365</v>
      </c>
      <c r="D96" s="16" t="s">
        <v>410</v>
      </c>
    </row>
    <row r="97" spans="1:4" ht="48" x14ac:dyDescent="0.25">
      <c r="A97" s="20" t="s">
        <v>362</v>
      </c>
      <c r="B97" s="17" t="s">
        <v>363</v>
      </c>
      <c r="C97" s="17" t="s">
        <v>364</v>
      </c>
      <c r="D97" s="16" t="s">
        <v>411</v>
      </c>
    </row>
    <row r="98" spans="1:4" ht="60" x14ac:dyDescent="0.25">
      <c r="A98" s="20" t="s">
        <v>146</v>
      </c>
      <c r="B98" s="17" t="s">
        <v>401</v>
      </c>
      <c r="C98" s="17" t="s">
        <v>399</v>
      </c>
      <c r="D98" s="16" t="s">
        <v>400</v>
      </c>
    </row>
    <row r="99" spans="1:4" ht="36" x14ac:dyDescent="0.25">
      <c r="A99" s="39" t="s">
        <v>414</v>
      </c>
      <c r="B99" s="48" t="s">
        <v>415</v>
      </c>
      <c r="C99" s="48" t="s">
        <v>416</v>
      </c>
      <c r="D99" s="48" t="s">
        <v>417</v>
      </c>
    </row>
    <row r="100" spans="1:4" ht="36" x14ac:dyDescent="0.25">
      <c r="A100" s="20" t="s">
        <v>148</v>
      </c>
      <c r="B100" s="17" t="s">
        <v>117</v>
      </c>
      <c r="C100" s="17" t="s">
        <v>287</v>
      </c>
      <c r="D100" s="16" t="s">
        <v>183</v>
      </c>
    </row>
    <row r="101" spans="1:4" ht="60" x14ac:dyDescent="0.25">
      <c r="A101" s="20" t="s">
        <v>390</v>
      </c>
      <c r="B101" s="17" t="s">
        <v>391</v>
      </c>
      <c r="C101" s="17" t="s">
        <v>392</v>
      </c>
      <c r="D101" s="16" t="s">
        <v>412</v>
      </c>
    </row>
    <row r="102" spans="1:4" ht="72" x14ac:dyDescent="0.25">
      <c r="A102" s="20" t="s">
        <v>149</v>
      </c>
      <c r="B102" s="17" t="s">
        <v>347</v>
      </c>
      <c r="C102" s="17" t="s">
        <v>348</v>
      </c>
      <c r="D102" s="16" t="s">
        <v>413</v>
      </c>
    </row>
    <row r="103" spans="1:4" x14ac:dyDescent="0.25">
      <c r="A103" s="20" t="s">
        <v>185</v>
      </c>
      <c r="B103" s="20" t="s">
        <v>192</v>
      </c>
      <c r="C103" s="20" t="s">
        <v>288</v>
      </c>
      <c r="D103" s="17" t="s">
        <v>199</v>
      </c>
    </row>
    <row r="104" spans="1:4" x14ac:dyDescent="0.25">
      <c r="A104" s="20" t="s">
        <v>186</v>
      </c>
      <c r="B104" s="20" t="s">
        <v>193</v>
      </c>
      <c r="C104" s="20" t="s">
        <v>289</v>
      </c>
      <c r="D104" s="17" t="s">
        <v>200</v>
      </c>
    </row>
    <row r="105" spans="1:4" x14ac:dyDescent="0.25">
      <c r="A105" s="20" t="s">
        <v>187</v>
      </c>
      <c r="B105" s="20" t="s">
        <v>194</v>
      </c>
      <c r="C105" s="20" t="s">
        <v>290</v>
      </c>
      <c r="D105" s="17" t="s">
        <v>201</v>
      </c>
    </row>
    <row r="106" spans="1:4" x14ac:dyDescent="0.25">
      <c r="A106" s="20" t="s">
        <v>188</v>
      </c>
      <c r="B106" s="20" t="s">
        <v>195</v>
      </c>
      <c r="C106" s="20" t="s">
        <v>291</v>
      </c>
      <c r="D106" s="17" t="s">
        <v>202</v>
      </c>
    </row>
    <row r="107" spans="1:4" x14ac:dyDescent="0.25">
      <c r="A107" s="20" t="s">
        <v>189</v>
      </c>
      <c r="B107" s="20" t="s">
        <v>196</v>
      </c>
      <c r="C107" s="20" t="s">
        <v>292</v>
      </c>
      <c r="D107" s="17" t="s">
        <v>203</v>
      </c>
    </row>
    <row r="108" spans="1:4" x14ac:dyDescent="0.25">
      <c r="A108" s="20" t="s">
        <v>190</v>
      </c>
      <c r="B108" s="20" t="s">
        <v>197</v>
      </c>
      <c r="C108" s="20" t="s">
        <v>293</v>
      </c>
      <c r="D108" s="17" t="s">
        <v>204</v>
      </c>
    </row>
    <row r="109" spans="1:4" x14ac:dyDescent="0.25">
      <c r="A109" s="20" t="s">
        <v>191</v>
      </c>
      <c r="B109" s="20" t="s">
        <v>198</v>
      </c>
      <c r="C109" s="20" t="s">
        <v>294</v>
      </c>
      <c r="D109" s="17" t="s">
        <v>205</v>
      </c>
    </row>
  </sheetData>
  <dataConsolidate/>
  <dataValidations count="2">
    <dataValidation type="list" showInputMessage="1" showErrorMessage="1" sqref="A4">
      <formula1>$B$6:$D$6</formula1>
    </dataValidation>
    <dataValidation type="list" showInputMessage="1" showErrorMessage="1" sqref="D4">
      <formula1>$D$6:$D$6</formula1>
    </dataValidation>
  </dataValidations>
  <pageMargins left="0.7" right="0.7" top="0.78740157499999996" bottom="0.78740157499999996" header="0.3" footer="0.3"/>
  <pageSetup paperSize="9" orientation="portrait" verticalDpi="0" r:id="rId1"/>
  <drawing r:id="rId2"/>
  <tableParts count="1">
    <tablePart r:id="rId3"/>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1</vt:i4>
      </vt:variant>
    </vt:vector>
  </HeadingPairs>
  <TitlesOfParts>
    <vt:vector size="5" baseType="lpstr">
      <vt:lpstr>Plánovanie</vt:lpstr>
      <vt:lpstr>Pravidlá</vt:lpstr>
      <vt:lpstr>Jedlá</vt:lpstr>
      <vt:lpstr>Jazyk</vt:lpstr>
      <vt:lpstr>Plánovanie!Druckbereich</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Author</dc:creator>
  <cp:lastModifiedBy>Author</cp:lastModifiedBy>
  <cp:lastPrinted>2023-05-19T18:34:21Z</cp:lastPrinted>
  <dcterms:created xsi:type="dcterms:W3CDTF">2022-10-30T10:58:12Z</dcterms:created>
  <dcterms:modified xsi:type="dcterms:W3CDTF">2023-07-22T12:05:37Z</dcterms:modified>
</cp:coreProperties>
</file>